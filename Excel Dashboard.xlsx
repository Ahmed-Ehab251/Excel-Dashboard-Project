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
    </mc:Choice>
  </mc:AlternateContent>
  <xr:revisionPtr revIDLastSave="0" documentId="13_ncr:1_{7BB976B6-AFCB-4A2B-9639-BD3778533CBA}" xr6:coauthVersionLast="47" xr6:coauthVersionMax="47" xr10:uidLastSave="{00000000-0000-0000-0000-000000000000}"/>
  <bookViews>
    <workbookView xWindow="-108" yWindow="-108" windowWidth="23256" windowHeight="12456" tabRatio="593" activeTab="4" xr2:uid="{00000000-000D-0000-FFFF-FFFF00000000}"/>
  </bookViews>
  <sheets>
    <sheet name="الارشادات" sheetId="3" r:id="rId1"/>
    <sheet name="Table" sheetId="17" r:id="rId2"/>
    <sheet name="البيانات" sheetId="1" r:id="rId3"/>
    <sheet name="Pivot Table" sheetId="13" r:id="rId4"/>
    <sheet name="Dashboard" sheetId="11" r:id="rId5"/>
  </sheets>
  <definedNames>
    <definedName name="_xlnm._FilterDatabase" localSheetId="2" hidden="1">البيانات!$A$1:$N$112</definedName>
    <definedName name="ExternalData_1" localSheetId="1" hidden="1">Table!$A$1:$S$112</definedName>
    <definedName name="Slicer_City">#N/A</definedName>
    <definedName name="Slicer_Metal_Color">#N/A</definedName>
    <definedName name="Slicer_Months__Order_Date">#N/A</definedName>
    <definedName name="Slicer_Sales_Platform">#N/A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6" i="13" l="1"/>
  <c r="C6" i="13"/>
  <c r="N6" i="13"/>
  <c r="BJ6" i="13"/>
  <c r="H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7EB89A-ACA8-42EC-832F-A6AA543F4927}"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s>
</file>

<file path=xl/sharedStrings.xml><?xml version="1.0" encoding="utf-8"?>
<sst xmlns="http://schemas.openxmlformats.org/spreadsheetml/2006/main" count="2260" uniqueCount="296">
  <si>
    <t>العنوان</t>
  </si>
  <si>
    <t>المنتج</t>
  </si>
  <si>
    <t>تاريخ التسليم</t>
  </si>
  <si>
    <t>المسئول عن التسليم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</si>
  <si>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</si>
  <si>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</si>
  <si>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</si>
  <si>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</si>
  <si>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</si>
  <si>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</si>
  <si>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</si>
  <si>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مسبق الدفع</t>
  </si>
  <si>
    <t>محمود</t>
  </si>
  <si>
    <t>سعيد</t>
  </si>
  <si>
    <t xml:space="preserve">سيدى عبد الرحمن - الساحل الشمالى </t>
  </si>
  <si>
    <t>ساندرا</t>
  </si>
  <si>
    <t xml:space="preserve">الغردقه </t>
  </si>
  <si>
    <t xml:space="preserve">تم التسليم عن طريق شركه شحن </t>
  </si>
  <si>
    <t xml:space="preserve">زينا </t>
  </si>
  <si>
    <t xml:space="preserve">شيك هومز </t>
  </si>
  <si>
    <t xml:space="preserve">احمد </t>
  </si>
  <si>
    <t>التجمع الخامس</t>
  </si>
  <si>
    <t xml:space="preserve">تم تسليم العميل عن طريق شركه شحن </t>
  </si>
  <si>
    <t xml:space="preserve">فشل التسليم </t>
  </si>
  <si>
    <t>yilmaz</t>
  </si>
  <si>
    <t xml:space="preserve">تاكى </t>
  </si>
  <si>
    <t>العباسيه</t>
  </si>
  <si>
    <t>تاكى</t>
  </si>
  <si>
    <t xml:space="preserve">العباسيه </t>
  </si>
  <si>
    <t xml:space="preserve">على رشوان </t>
  </si>
  <si>
    <t>مصر الجديده</t>
  </si>
  <si>
    <t>شيك هومز</t>
  </si>
  <si>
    <t xml:space="preserve">فيصل نعيم </t>
  </si>
  <si>
    <t xml:space="preserve">التجمع الخامس </t>
  </si>
  <si>
    <t xml:space="preserve">اوسكار ريتن </t>
  </si>
  <si>
    <t>ellho elkafy</t>
  </si>
  <si>
    <t xml:space="preserve">مدينه نصر </t>
  </si>
  <si>
    <t xml:space="preserve">لينا </t>
  </si>
  <si>
    <t xml:space="preserve">المقطم </t>
  </si>
  <si>
    <t xml:space="preserve">احمد فخرى </t>
  </si>
  <si>
    <t>حسن حازم</t>
  </si>
  <si>
    <t xml:space="preserve">رنا </t>
  </si>
  <si>
    <t xml:space="preserve">القطاميه </t>
  </si>
  <si>
    <t xml:space="preserve">على السيد </t>
  </si>
  <si>
    <t xml:space="preserve">هشام بسيونى </t>
  </si>
  <si>
    <t xml:space="preserve">حدايق الاهرام </t>
  </si>
  <si>
    <t>عبير نور الدين</t>
  </si>
  <si>
    <t>اوسكار راتن</t>
  </si>
  <si>
    <t xml:space="preserve">مخزن اوسكار في القناطر </t>
  </si>
  <si>
    <t>حساب شركه</t>
  </si>
  <si>
    <t>الشروق</t>
  </si>
  <si>
    <t xml:space="preserve">ساره وجيه </t>
  </si>
  <si>
    <t xml:space="preserve">مها </t>
  </si>
  <si>
    <t xml:space="preserve">اسراء ابو العنين </t>
  </si>
  <si>
    <t xml:space="preserve">بسام الشربينى </t>
  </si>
  <si>
    <t>وائل صادق</t>
  </si>
  <si>
    <t xml:space="preserve">هبه عبد الفتاح </t>
  </si>
  <si>
    <t>صفاء</t>
  </si>
  <si>
    <t>المعادى</t>
  </si>
  <si>
    <t xml:space="preserve">اسراء ابراهيم </t>
  </si>
  <si>
    <t xml:space="preserve">ملغى </t>
  </si>
  <si>
    <t xml:space="preserve">طارق كمال </t>
  </si>
  <si>
    <t xml:space="preserve">مصطفي غنيم </t>
  </si>
  <si>
    <t xml:space="preserve">اسيوط </t>
  </si>
  <si>
    <t xml:space="preserve">مسبق الدفع </t>
  </si>
  <si>
    <t>حسام عبدون</t>
  </si>
  <si>
    <t>الغردقه</t>
  </si>
  <si>
    <t xml:space="preserve">اياد </t>
  </si>
  <si>
    <t>ميار خورشد</t>
  </si>
  <si>
    <t xml:space="preserve">عبد الله سيد </t>
  </si>
  <si>
    <t xml:space="preserve">كينج سونا </t>
  </si>
  <si>
    <t xml:space="preserve">رامى </t>
  </si>
  <si>
    <t xml:space="preserve">احمد خالد </t>
  </si>
  <si>
    <t>الرحاب</t>
  </si>
  <si>
    <t>ساره</t>
  </si>
  <si>
    <t>رحاب</t>
  </si>
  <si>
    <t xml:space="preserve">احمد ايمن </t>
  </si>
  <si>
    <t>العبور</t>
  </si>
  <si>
    <t xml:space="preserve">فؤاد المنسي </t>
  </si>
  <si>
    <t xml:space="preserve">ديفد بهجت </t>
  </si>
  <si>
    <t xml:space="preserve">حسن مغرب </t>
  </si>
  <si>
    <t>صفاء الحكيم</t>
  </si>
  <si>
    <t>العين السخنه</t>
  </si>
  <si>
    <t>يوسف شناوى</t>
  </si>
  <si>
    <t>سرير</t>
  </si>
  <si>
    <t>منطبق</t>
  </si>
  <si>
    <t>فردى</t>
  </si>
  <si>
    <t>ركنة</t>
  </si>
  <si>
    <t>سحارة</t>
  </si>
  <si>
    <t>ركنة بسرير</t>
  </si>
  <si>
    <t>كنبة</t>
  </si>
  <si>
    <t>كرسى</t>
  </si>
  <si>
    <t>دورين</t>
  </si>
  <si>
    <t xml:space="preserve">كنبة </t>
  </si>
  <si>
    <t>ابيض</t>
  </si>
  <si>
    <t>اسود</t>
  </si>
  <si>
    <t>ازرق</t>
  </si>
  <si>
    <t>ثلاثه ادوار</t>
  </si>
  <si>
    <t>رمادى</t>
  </si>
  <si>
    <t>بنفسجى</t>
  </si>
  <si>
    <t>دهبي</t>
  </si>
  <si>
    <t>اللون المعدن</t>
  </si>
  <si>
    <t>mohannad</t>
  </si>
  <si>
    <t>Mohamed Ayman</t>
  </si>
  <si>
    <t>Madinet Badr</t>
  </si>
  <si>
    <t>2 ميكانزم</t>
  </si>
  <si>
    <t>بمكتبة</t>
  </si>
  <si>
    <t>رف سحاب</t>
  </si>
  <si>
    <t>الحالة</t>
  </si>
  <si>
    <t>فشل التسليم</t>
  </si>
  <si>
    <t>اسامه</t>
  </si>
  <si>
    <t>تم التسليم</t>
  </si>
  <si>
    <t xml:space="preserve">تم التسليم محمود على </t>
  </si>
  <si>
    <t xml:space="preserve">المخزن ابو الغيط </t>
  </si>
  <si>
    <t>اسود وبنى</t>
  </si>
  <si>
    <t>ولاء بدوى</t>
  </si>
  <si>
    <t>عبد الرحمن يسري</t>
  </si>
  <si>
    <t>4×1</t>
  </si>
  <si>
    <t xml:space="preserve">اسود </t>
  </si>
  <si>
    <t>مرتجع</t>
  </si>
  <si>
    <t>الحج محمد السويس</t>
  </si>
  <si>
    <t xml:space="preserve">السويس </t>
  </si>
  <si>
    <t>السويس</t>
  </si>
  <si>
    <t>ملون</t>
  </si>
  <si>
    <t>شيزلونج</t>
  </si>
  <si>
    <t xml:space="preserve">نبيتى </t>
  </si>
  <si>
    <t>عمرو الأسود</t>
  </si>
  <si>
    <t>الزمالك</t>
  </si>
  <si>
    <t>مخزن شيك هومز</t>
  </si>
  <si>
    <t xml:space="preserve">تم التسليم بمعرفه الحج سيد </t>
  </si>
  <si>
    <t xml:space="preserve">أكتوبر </t>
  </si>
  <si>
    <t>keira</t>
  </si>
  <si>
    <t>بينك</t>
  </si>
  <si>
    <t>tarek</t>
  </si>
  <si>
    <t>لاغى</t>
  </si>
  <si>
    <t>reem</t>
  </si>
  <si>
    <t>هشام سامى</t>
  </si>
  <si>
    <t>41 كومبوند جولدن جستس الدور 4 شقه 4</t>
  </si>
  <si>
    <t xml:space="preserve">منزلى </t>
  </si>
  <si>
    <t>الوان</t>
  </si>
  <si>
    <t>فاطمه محمد</t>
  </si>
  <si>
    <t>بولا هومزمارت</t>
  </si>
  <si>
    <t xml:space="preserve">محمد شكرى </t>
  </si>
  <si>
    <t>مسبق</t>
  </si>
  <si>
    <t>منزلى</t>
  </si>
  <si>
    <t>مدينتى</t>
  </si>
  <si>
    <t>حماده</t>
  </si>
  <si>
    <t>صفاء عبد الباقي</t>
  </si>
  <si>
    <t xml:space="preserve">سرير </t>
  </si>
  <si>
    <t>المخزن</t>
  </si>
  <si>
    <t xml:space="preserve">دورين </t>
  </si>
  <si>
    <t xml:space="preserve">مرفوض </t>
  </si>
  <si>
    <t xml:space="preserve">رندا العامرى </t>
  </si>
  <si>
    <t xml:space="preserve">فردى </t>
  </si>
  <si>
    <t>محمد حمدى</t>
  </si>
  <si>
    <t>فيسبوك</t>
  </si>
  <si>
    <t xml:space="preserve">بافلى هانى </t>
  </si>
  <si>
    <t xml:space="preserve">شبرا </t>
  </si>
  <si>
    <t xml:space="preserve">تم التسليم م محمد </t>
  </si>
  <si>
    <t>رنا ميلاد</t>
  </si>
  <si>
    <t>ترابيزه</t>
  </si>
  <si>
    <t>محمد ناجى</t>
  </si>
  <si>
    <t>احمد عبد الستار</t>
  </si>
  <si>
    <t xml:space="preserve">نور </t>
  </si>
  <si>
    <t xml:space="preserve">ترابيزه </t>
  </si>
  <si>
    <t>نور</t>
  </si>
  <si>
    <t xml:space="preserve">هومزمارت </t>
  </si>
  <si>
    <t>تامر</t>
  </si>
  <si>
    <t>هناء اسامه</t>
  </si>
  <si>
    <t>القطاميه</t>
  </si>
  <si>
    <t xml:space="preserve">محمد عادل </t>
  </si>
  <si>
    <t>مريم عنان</t>
  </si>
  <si>
    <t xml:space="preserve">هبه عطيه </t>
  </si>
  <si>
    <t>حمدى ذكرى</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</si>
  <si>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</si>
  <si>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</si>
  <si>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</si>
  <si>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</si>
  <si>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</si>
  <si>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</si>
  <si>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</si>
  <si>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</si>
  <si>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</si>
  <si>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</si>
  <si>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</si>
  <si>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</si>
  <si>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</si>
  <si>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</si>
  <si>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 xml:space="preserve">الإسكندرية </t>
  </si>
  <si>
    <t xml:space="preserve">الإسكندرية  </t>
  </si>
  <si>
    <t xml:space="preserve"> أكتوبر </t>
  </si>
  <si>
    <t xml:space="preserve"> أكتوبر   </t>
  </si>
  <si>
    <t xml:space="preserve">أكتوبر  </t>
  </si>
  <si>
    <t>الجيزه</t>
  </si>
  <si>
    <t>فينيسيا</t>
  </si>
  <si>
    <t>وصف المنتج</t>
  </si>
  <si>
    <t>تم التصنيع</t>
  </si>
  <si>
    <t>27\07\2024</t>
  </si>
  <si>
    <t>28\07\2024</t>
  </si>
  <si>
    <t>اسم العميل</t>
  </si>
  <si>
    <t>حاتم العيسوي</t>
  </si>
  <si>
    <t>أكتوبر</t>
  </si>
  <si>
    <t>رقم الصف</t>
  </si>
  <si>
    <t>Total Sales</t>
  </si>
  <si>
    <t>Total Orders</t>
  </si>
  <si>
    <t>Average Selling Price</t>
  </si>
  <si>
    <t>Sales by Platform</t>
  </si>
  <si>
    <t xml:space="preserve">كميت </t>
  </si>
  <si>
    <t>خالد عبد القوى</t>
  </si>
  <si>
    <t>تم التسليم عن طريق شركه شحن</t>
  </si>
  <si>
    <t>الإسكندرية</t>
  </si>
  <si>
    <t>زينا</t>
  </si>
  <si>
    <t>احمد</t>
  </si>
  <si>
    <t>تم التسليم محمود على</t>
  </si>
  <si>
    <t>على رشوان</t>
  </si>
  <si>
    <t>احمد فخرى</t>
  </si>
  <si>
    <t>ملغى</t>
  </si>
  <si>
    <t>لينا</t>
  </si>
  <si>
    <t>فيصل نعيم</t>
  </si>
  <si>
    <t>اوسكار ريتن</t>
  </si>
  <si>
    <t>مخزن اوسكار في القناطر</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</si>
  <si>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</si>
  <si>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</si>
  <si>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</si>
  <si>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</si>
  <si>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</si>
  <si>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</si>
  <si>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</si>
  <si>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</si>
  <si>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</si>
  <si>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</si>
  <si>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</si>
  <si>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</si>
  <si>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</si>
  <si>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</si>
  <si>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</si>
  <si>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</si>
  <si>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</si>
  <si>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</si>
  <si>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اسيوط</t>
  </si>
  <si>
    <t>رامى</t>
  </si>
  <si>
    <t>فؤاد المنسي</t>
  </si>
  <si>
    <t>المخزن ابو الغيط</t>
  </si>
  <si>
    <t>تم التسليم بمعرفه الحج سيد</t>
  </si>
  <si>
    <t>نبيتى</t>
  </si>
  <si>
    <t>محمد شكرى</t>
  </si>
  <si>
    <t>رندا العامرى</t>
  </si>
  <si>
    <t>كميت</t>
  </si>
  <si>
    <t>بافلى هانى</t>
  </si>
  <si>
    <t>تم التسليم م محمد</t>
  </si>
  <si>
    <t>محمد عادل</t>
  </si>
  <si>
    <t>هبه عطيه</t>
  </si>
  <si>
    <t>Best Seller</t>
  </si>
  <si>
    <t>مدينة بدر</t>
  </si>
  <si>
    <t>Best Color Sold</t>
  </si>
  <si>
    <t>لم يتم التسليم في الميعاد</t>
  </si>
  <si>
    <t>تم التسليم في الميعاد</t>
  </si>
  <si>
    <t>On-Time Delivery Rate</t>
  </si>
  <si>
    <t>Delivery Status Breakdown</t>
  </si>
  <si>
    <t>Orders by Area</t>
  </si>
  <si>
    <t>Number of Individuals and Companies that Misuo deals with</t>
  </si>
  <si>
    <t>تأخير</t>
  </si>
  <si>
    <t>في الموعد</t>
  </si>
  <si>
    <t>القاهرة</t>
  </si>
  <si>
    <t>الجيزة</t>
  </si>
  <si>
    <t>Number of Orders</t>
  </si>
  <si>
    <t>Custom Name</t>
  </si>
  <si>
    <t>City</t>
  </si>
  <si>
    <t>Sales Platform</t>
  </si>
  <si>
    <t>Product</t>
  </si>
  <si>
    <t>Product Description</t>
  </si>
  <si>
    <t>Metal Color</t>
  </si>
  <si>
    <t>Sale Price</t>
  </si>
  <si>
    <t>Payment Method</t>
  </si>
  <si>
    <t>Order Date</t>
  </si>
  <si>
    <t>Delivery Date</t>
  </si>
  <si>
    <t>Date of Delivery</t>
  </si>
  <si>
    <t>On-Time Delivery</t>
  </si>
  <si>
    <t>Delivery Status</t>
  </si>
  <si>
    <t>Person Responsible for Delivery</t>
  </si>
  <si>
    <t>Number of Companies</t>
  </si>
  <si>
    <t>Status</t>
  </si>
  <si>
    <t>Number of Customers</t>
  </si>
  <si>
    <t>الساحل الشمالى</t>
  </si>
  <si>
    <t>كومبوند جولدن جستس</t>
  </si>
  <si>
    <t>Row Labels</t>
  </si>
  <si>
    <t>Grand Total</t>
  </si>
  <si>
    <t>Sum of Sale Price</t>
  </si>
  <si>
    <t>Count of Number of Orders</t>
  </si>
  <si>
    <t>Average of Sale Price</t>
  </si>
  <si>
    <t>Count of Delivery Status</t>
  </si>
  <si>
    <t>Count of Status</t>
  </si>
  <si>
    <t>Sum of Number of Customers</t>
  </si>
  <si>
    <t>Sum of Number of Companies</t>
  </si>
  <si>
    <t>Order Date Month</t>
  </si>
  <si>
    <t>التجمع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</si>
</sst>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2000401]0"/>
    <numFmt numFmtId="165" formatCode="_-* #,##0_-;\-* #,##0_-;_-* &quot;-&quot;??_-;_-@_-"/>
    <numFmt numFmtId="166" formatCode="mmmm"/>
  </numFmts>
  <fonts count="13" x14ac:knownFonts="1">
    <font>
      <sz val="11"/>
      <color theme="1"/>
      <name val="Calibri"/>
      <family val="2"/>
      <scheme val="minor"/>
    </font>
    <font>
      <b/>
      <sz val="12"/>
      <color theme="1"/>
      <name val="Calibri"/>
      <family val="2"/>
      <scheme val="minor"/>
    </font>
    <font>
      <sz val="11"/>
      <name val="Calibri"/>
      <family val="2"/>
      <scheme val="minor"/>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Calibri"/>
      <family val="2"/>
      <scheme val="minor"/>
    </font>
    <font>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2F2F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2">
    <xf numFmtId="0" fontId="0" fillId="0" borderId="0"/>
    <xf numFmtId="43" fontId="11" fillId="0" borderId="0" applyFont="0" applyFill="0" applyBorder="0" applyAlignment="0" applyProtection="0"/>
  </cellStyleXfs>
  <cellXfs count="64">
    <xf numFmtId="0" fontId="0" fillId="0" borderId="0" xfId="0"/>
    <xf numFmtId="0" fontId="0" fillId="0" borderId="0" xfId="0" applyAlignment="1">
      <alignment horizontal="right" vertical="center"/>
    </xf>
    <xf numFmtId="0" fontId="3"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8" fillId="0" borderId="0" xfId="0" applyFont="1" applyAlignment="1">
      <alignment horizontal="right" indent="2"/>
    </xf>
    <xf numFmtId="0" fontId="1" fillId="0" borderId="6" xfId="0" applyFont="1" applyBorder="1" applyAlignment="1">
      <alignment horizontal="center" vertical="center"/>
    </xf>
    <xf numFmtId="0" fontId="1" fillId="0" borderId="3" xfId="0" applyFont="1" applyBorder="1" applyAlignment="1">
      <alignment horizontal="center" vertical="center"/>
    </xf>
    <xf numFmtId="2" fontId="1" fillId="0" borderId="3" xfId="0" applyNumberFormat="1"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right" vertical="center"/>
    </xf>
    <xf numFmtId="0" fontId="0" fillId="0" borderId="3" xfId="0" applyBorder="1" applyAlignment="1">
      <alignment horizontal="center" vertical="center"/>
    </xf>
    <xf numFmtId="1" fontId="0" fillId="0" borderId="3" xfId="0" applyNumberFormat="1" applyBorder="1" applyAlignment="1">
      <alignment horizontal="right" vertical="center"/>
    </xf>
    <xf numFmtId="2" fontId="0" fillId="0" borderId="3" xfId="0" applyNumberFormat="1" applyBorder="1" applyAlignment="1">
      <alignment horizontal="right" vertical="center"/>
    </xf>
    <xf numFmtId="0" fontId="0" fillId="0" borderId="3" xfId="0" applyBorder="1" applyAlignment="1">
      <alignment horizontal="right" vertical="center"/>
    </xf>
    <xf numFmtId="14" fontId="0" fillId="0" borderId="3" xfId="0" applyNumberFormat="1" applyBorder="1" applyAlignment="1">
      <alignment horizontal="right" vertical="center"/>
    </xf>
    <xf numFmtId="0" fontId="0" fillId="0" borderId="6" xfId="0"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right" vertical="center"/>
    </xf>
    <xf numFmtId="2" fontId="0" fillId="0" borderId="1" xfId="0" applyNumberFormat="1" applyBorder="1" applyAlignment="1">
      <alignment horizontal="right" vertical="center"/>
    </xf>
    <xf numFmtId="0" fontId="0" fillId="0" borderId="1" xfId="0" applyBorder="1" applyAlignment="1">
      <alignment horizontal="right" vertical="center"/>
    </xf>
    <xf numFmtId="14" fontId="0" fillId="0" borderId="1" xfId="0" applyNumberFormat="1" applyBorder="1" applyAlignment="1">
      <alignment horizontal="right" vertical="center"/>
    </xf>
    <xf numFmtId="0" fontId="0" fillId="0" borderId="2" xfId="0"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center" vertical="center"/>
    </xf>
    <xf numFmtId="1" fontId="2" fillId="0" borderId="1" xfId="0" applyNumberFormat="1" applyFont="1" applyBorder="1" applyAlignment="1">
      <alignment horizontal="right" vertical="center"/>
    </xf>
    <xf numFmtId="14" fontId="2" fillId="0" borderId="1" xfId="0" applyNumberFormat="1" applyFont="1" applyBorder="1" applyAlignment="1">
      <alignment horizontal="right" vertical="center"/>
    </xf>
    <xf numFmtId="0" fontId="0" fillId="0" borderId="4" xfId="0" applyBorder="1" applyAlignment="1">
      <alignment horizontal="right" vertical="center"/>
    </xf>
    <xf numFmtId="0" fontId="12" fillId="0" borderId="1" xfId="0" applyFont="1" applyBorder="1" applyAlignment="1">
      <alignment horizontal="center"/>
    </xf>
    <xf numFmtId="0" fontId="0" fillId="0" borderId="7" xfId="0" applyBorder="1" applyAlignment="1">
      <alignment horizontal="center" vertical="center"/>
    </xf>
    <xf numFmtId="1" fontId="0" fillId="0" borderId="7" xfId="0" applyNumberFormat="1" applyBorder="1" applyAlignment="1">
      <alignment horizontal="right" vertical="center"/>
    </xf>
    <xf numFmtId="2" fontId="0" fillId="0" borderId="7" xfId="0" applyNumberFormat="1" applyBorder="1" applyAlignment="1">
      <alignment horizontal="right" vertical="center"/>
    </xf>
    <xf numFmtId="14" fontId="0" fillId="0" borderId="7" xfId="0" applyNumberFormat="1" applyBorder="1" applyAlignment="1">
      <alignment horizontal="right" vertical="center"/>
    </xf>
    <xf numFmtId="0" fontId="0" fillId="0" borderId="8" xfId="0" applyBorder="1" applyAlignment="1">
      <alignment horizontal="center" vertical="center"/>
    </xf>
    <xf numFmtId="2" fontId="0" fillId="0" borderId="0" xfId="0" applyNumberFormat="1" applyAlignment="1">
      <alignment horizontal="right" vertical="center"/>
    </xf>
    <xf numFmtId="2" fontId="2" fillId="0" borderId="1" xfId="0" applyNumberFormat="1" applyFont="1" applyBorder="1" applyAlignment="1">
      <alignment horizontal="right" vertical="center"/>
    </xf>
    <xf numFmtId="165" fontId="0" fillId="0" borderId="0" xfId="1" applyNumberFormat="1" applyFont="1" applyAlignment="1">
      <alignment horizontal="right" vertical="center"/>
    </xf>
    <xf numFmtId="0" fontId="0" fillId="2" borderId="0" xfId="0" applyFill="1"/>
    <xf numFmtId="49" fontId="0" fillId="0" borderId="3" xfId="0" applyNumberFormat="1" applyBorder="1" applyAlignment="1">
      <alignment horizontal="center" vertical="center"/>
    </xf>
    <xf numFmtId="49" fontId="0" fillId="0" borderId="1" xfId="0" applyNumberFormat="1" applyBorder="1" applyAlignment="1">
      <alignment horizontal="center" vertical="center"/>
    </xf>
    <xf numFmtId="49" fontId="2" fillId="0" borderId="1" xfId="0" applyNumberFormat="1" applyFont="1" applyBorder="1" applyAlignment="1">
      <alignment horizontal="center" vertical="center"/>
    </xf>
    <xf numFmtId="49" fontId="0" fillId="0" borderId="7" xfId="0" applyNumberFormat="1" applyBorder="1" applyAlignment="1">
      <alignment horizontal="center" vertical="center"/>
    </xf>
    <xf numFmtId="49" fontId="0" fillId="0" borderId="0" xfId="0" applyNumberFormat="1" applyAlignment="1">
      <alignment horizontal="center" vertical="center"/>
    </xf>
    <xf numFmtId="49" fontId="1" fillId="0" borderId="3" xfId="0" applyNumberFormat="1" applyFont="1" applyBorder="1" applyAlignment="1">
      <alignment horizontal="center" vertical="center"/>
    </xf>
    <xf numFmtId="1" fontId="0" fillId="0" borderId="0" xfId="0" applyNumberFormat="1" applyAlignment="1">
      <alignment horizontal="right" vertical="center"/>
    </xf>
    <xf numFmtId="0" fontId="0" fillId="3" borderId="0" xfId="0" applyFill="1"/>
    <xf numFmtId="165" fontId="0" fillId="3" borderId="0" xfId="0" applyNumberFormat="1" applyFill="1"/>
    <xf numFmtId="0" fontId="0" fillId="0" borderId="0" xfId="0" pivotButton="1"/>
    <xf numFmtId="0" fontId="0" fillId="0" borderId="0" xfId="0" applyAlignment="1">
      <alignment horizontal="left"/>
    </xf>
    <xf numFmtId="1" fontId="0" fillId="0" borderId="0" xfId="0" applyNumberFormat="1"/>
    <xf numFmtId="14" fontId="0" fillId="0" borderId="0" xfId="0" applyNumberFormat="1" applyAlignment="1">
      <alignment horizontal="right" vertical="center"/>
    </xf>
    <xf numFmtId="165" fontId="0" fillId="0" borderId="0" xfId="0" applyNumberFormat="1"/>
    <xf numFmtId="9" fontId="0" fillId="0" borderId="0" xfId="0" applyNumberFormat="1"/>
    <xf numFmtId="165" fontId="0" fillId="0" borderId="0" xfId="1" applyNumberFormat="1" applyFont="1"/>
    <xf numFmtId="0" fontId="0" fillId="0" borderId="0" xfId="0"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xf>
  </cellXfs>
  <cellStyles count="2">
    <cellStyle name="Comma" xfId="1" builtinId="3"/>
    <cellStyle name="Normal" xfId="0" builtinId="0"/>
  </cellStyles>
  <dxfs count="259">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 formatCode="0"/>
    </dxf>
    <dxf>
      <numFmt numFmtId="1" formatCode="0"/>
    </dxf>
    <dxf>
      <numFmt numFmtId="165" formatCode="_-* #,##0_-;\-* #,##0_-;_-* &quot;-&quot;??_-;_-@_-"/>
    </dxf>
    <dxf>
      <numFmt numFmtId="14" formatCode="0.00%"/>
    </dxf>
    <dxf>
      <numFmt numFmtId="13" formatCode="0%"/>
    </dxf>
    <dxf>
      <numFmt numFmtId="165" formatCode="_-* #,##0_-;\-* #,##0_-;_-* &quot;-&quot;??_-;_-@_-"/>
    </dxf>
    <dxf>
      <numFmt numFmtId="165" formatCode="_-* #,##0_-;\-* #,##0_-;_-* &quot;-&quot;??_-;_-@_-"/>
    </dxf>
    <dxf>
      <numFmt numFmtId="165" formatCode="_-* #,##0_-;\-* #,##0_-;_-* &quot;-&quot;??_-;_-@_-"/>
    </dxf>
    <dxf>
      <numFmt numFmtId="13" formatCode="0%"/>
    </dxf>
    <dxf>
      <numFmt numFmtId="14" formatCode="0.00%"/>
    </dxf>
    <dxf>
      <numFmt numFmtId="1" formatCode="0"/>
    </dxf>
    <dxf>
      <numFmt numFmtId="13" formatCode="0%"/>
    </dxf>
    <dxf>
      <numFmt numFmtId="14" formatCode="0.00%"/>
    </dxf>
    <dxf>
      <numFmt numFmtId="165" formatCode="_-* #,##0_-;\-* #,##0_-;_-* &quot;-&quot;??_-;_-@_-"/>
    </dxf>
    <dxf>
      <numFmt numFmtId="1" formatCode="0"/>
    </dxf>
    <dxf>
      <numFmt numFmtId="165" formatCode="_-* #,##0_-;\-* #,##0_-;_-* &quot;-&quot;??_-;_-@_-"/>
    </dxf>
    <dxf>
      <numFmt numFmtId="165" formatCode="_-* #,##0_-;\-* #,##0_-;_-* &quot;-&quot;??_-;_-@_-"/>
    </dxf>
    <dxf>
      <numFmt numFmtId="165" formatCode="_-* #,##0_-;\-* #,##0_-;_-* &quot;-&quot;??_-;_-@_-"/>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30" formatCode="@"/>
      <alignment horizontal="center" vertical="center" textRotation="0" wrapText="0" indent="0" justifyLastLine="0" shrinkToFit="0" readingOrder="0"/>
    </dxf>
    <dxf>
      <numFmt numFmtId="1" formatCode="0"/>
      <alignment horizontal="right"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9" formatCode="dd/mm/yyyy"/>
      <alignment horizontal="right" vertical="center" textRotation="0" wrapText="0" indent="0" justifyLastLine="0" shrinkToFit="0" readingOrder="0"/>
    </dxf>
    <dxf>
      <numFmt numFmtId="19" formatCode="dd/mm/yyyy"/>
      <alignment horizontal="right" vertical="center" textRotation="0" wrapText="0" indent="0" justifyLastLine="0" shrinkToFit="0" readingOrder="0"/>
    </dxf>
    <dxf>
      <numFmt numFmtId="166" formatCode="mmmm"/>
      <alignment horizontal="center" vertical="center" textRotation="0" wrapText="0" indent="0" justifyLastLine="0" shrinkToFit="0" readingOrder="0"/>
    </dxf>
    <dxf>
      <numFmt numFmtId="19" formatCode="dd/mm/yyyy"/>
      <alignment horizontal="right" vertical="center" textRotation="0" wrapText="0" indent="0" justifyLastLine="0" shrinkToFit="0" readingOrder="0"/>
    </dxf>
    <dxf>
      <numFmt numFmtId="1" formatCode="0"/>
      <alignment horizontal="right"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right"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right" vertical="center" textRotation="0" wrapText="0" indent="0" justifyLastLine="0" shrinkToFit="0" readingOrder="0"/>
    </dxf>
    <dxf>
      <alignment horizontal="center" vertical="center" textRotation="0" wrapText="0" indent="0" justifyLastLine="0" shrinkToFit="0" readingOrder="0"/>
    </dxf>
    <dxf>
      <font>
        <color theme="0"/>
      </font>
      <fill>
        <patternFill>
          <bgColor rgb="FF29406D"/>
        </patternFill>
      </fill>
    </dxf>
  </dxfs>
  <tableStyles count="2" defaultTableStyle="TableStyleMedium2" defaultPivotStyle="PivotStyleLight16">
    <tableStyle name="Invisible" pivot="0" table="0" count="0" xr9:uid="{AA73528B-8D85-432A-9172-AA70B5E8C669}"/>
    <tableStyle name="Slicer Style 1" pivot="0" table="0" count="1" xr9:uid="{22C0BED6-1663-480D-B58A-7F1292722D0F}">
      <tableStyleElement type="wholeTable" dxfId="258"/>
    </tableStyle>
  </tableStyles>
  <colors>
    <mruColors>
      <color rgb="FF4A7FB0"/>
      <color rgb="FF29406D"/>
      <color rgb="FF32D4EA"/>
      <color rgb="FF1C18B8"/>
      <color rgb="FF004D86"/>
      <color rgb="FF446AB6"/>
      <color rgb="FFA60311"/>
      <color rgb="FFF2F2F2"/>
      <color rgb="FF182540"/>
      <color rgb="FF1B2A4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Ehab Nagy.xlsx]Pivot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rgbClr val="29406D"/>
                </a:solidFill>
              </a:rPr>
              <a:t>Sales by Platform</a:t>
            </a:r>
          </a:p>
        </c:rich>
      </c:tx>
      <c:layout>
        <c:manualLayout>
          <c:xMode val="edge"/>
          <c:yMode val="edge"/>
          <c:x val="0.38732298127538523"/>
          <c:y val="4.7892720306513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solidFill>
              <a:srgbClr val="F2F2F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03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Table'!$T$5</c:f>
              <c:strCache>
                <c:ptCount val="1"/>
                <c:pt idx="0">
                  <c:v>Total</c:v>
                </c:pt>
              </c:strCache>
            </c:strRef>
          </c:tx>
          <c:spPr>
            <a:solidFill>
              <a:srgbClr val="A603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Table'!$S$6:$S$14</c:f>
              <c:strCache>
                <c:ptCount val="8"/>
                <c:pt idx="0">
                  <c:v>هومزمارت</c:v>
                </c:pt>
                <c:pt idx="1">
                  <c:v>شيك هومز</c:v>
                </c:pt>
                <c:pt idx="2">
                  <c:v>تاكى</c:v>
                </c:pt>
                <c:pt idx="3">
                  <c:v>اوسكار ريتن</c:v>
                </c:pt>
                <c:pt idx="4">
                  <c:v>السويس</c:v>
                </c:pt>
                <c:pt idx="5">
                  <c:v>فيسبوك</c:v>
                </c:pt>
                <c:pt idx="6">
                  <c:v>منزلى</c:v>
                </c:pt>
                <c:pt idx="7">
                  <c:v>كميت</c:v>
                </c:pt>
              </c:strCache>
            </c:strRef>
          </c:cat>
          <c:val>
            <c:numRef>
              <c:f>'Pivot Table'!$T$6:$T$14</c:f>
              <c:numCache>
                <c:formatCode>_-* #,##0_-;\-* #,##0_-;_-* "-"??_-;_-@_-</c:formatCode>
                <c:ptCount val="8"/>
                <c:pt idx="0">
                  <c:v>781237</c:v>
                </c:pt>
                <c:pt idx="1">
                  <c:v>181562.5</c:v>
                </c:pt>
                <c:pt idx="2">
                  <c:v>60650</c:v>
                </c:pt>
                <c:pt idx="3">
                  <c:v>54511.91</c:v>
                </c:pt>
                <c:pt idx="4">
                  <c:v>33144.905440000002</c:v>
                </c:pt>
                <c:pt idx="5">
                  <c:v>27150</c:v>
                </c:pt>
                <c:pt idx="6">
                  <c:v>9655</c:v>
                </c:pt>
                <c:pt idx="7">
                  <c:v>7396</c:v>
                </c:pt>
              </c:numCache>
            </c:numRef>
          </c:val>
          <c:extLst>
            <c:ext xmlns:c16="http://schemas.microsoft.com/office/drawing/2014/chart" uri="{C3380CC4-5D6E-409C-BE32-E72D297353CC}">
              <c16:uniqueId val="{00000000-A632-445B-83FF-280A719CABF9}"/>
            </c:ext>
          </c:extLst>
        </c:ser>
        <c:dLbls>
          <c:dLblPos val="outEnd"/>
          <c:showLegendKey val="0"/>
          <c:showVal val="1"/>
          <c:showCatName val="0"/>
          <c:showSerName val="0"/>
          <c:showPercent val="0"/>
          <c:showBubbleSize val="0"/>
        </c:dLbls>
        <c:gapWidth val="219"/>
        <c:axId val="1594761296"/>
        <c:axId val="1594759856"/>
      </c:barChart>
      <c:catAx>
        <c:axId val="159476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59856"/>
        <c:crosses val="autoZero"/>
        <c:auto val="1"/>
        <c:lblAlgn val="ctr"/>
        <c:lblOffset val="100"/>
        <c:noMultiLvlLbl val="0"/>
      </c:catAx>
      <c:valAx>
        <c:axId val="1594759856"/>
        <c:scaling>
          <c:orientation val="minMax"/>
        </c:scaling>
        <c:delete val="1"/>
        <c:axPos val="l"/>
        <c:numFmt formatCode="_-* #,##0_-;\-* #,##0_-;_-* &quot;-&quot;??_-;_-@_-" sourceLinked="1"/>
        <c:majorTickMark val="none"/>
        <c:minorTickMark val="none"/>
        <c:tickLblPos val="nextTo"/>
        <c:crossAx val="159476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Ehab Nagy.xlsx]Pivot Table!PivotTable9</c:name>
    <c:fmtId val="9"/>
  </c:pivotSource>
  <c:chart>
    <c:title>
      <c:tx>
        <c:rich>
          <a:bodyPr rot="0" spcFirstLastPara="1" vertOverflow="ellipsis" vert="horz" wrap="square" anchor="ctr" anchorCtr="1"/>
          <a:lstStyle/>
          <a:p>
            <a:pPr algn="ctr" rtl="0">
              <a:defRPr lang="en-GB" sz="1600" b="1" i="0" u="none" strike="noStrike" kern="1200" spc="0" baseline="0">
                <a:solidFill>
                  <a:srgbClr val="29406D"/>
                </a:solidFill>
                <a:latin typeface="+mn-lt"/>
                <a:ea typeface="+mn-ea"/>
                <a:cs typeface="+mn-cs"/>
              </a:defRPr>
            </a:pPr>
            <a:r>
              <a:rPr lang="en-US" sz="1600" b="1" i="0" u="none" strike="noStrike" kern="1200" spc="0" baseline="0">
                <a:solidFill>
                  <a:srgbClr val="29406D"/>
                </a:solidFill>
                <a:latin typeface="+mn-lt"/>
                <a:ea typeface="+mn-ea"/>
                <a:cs typeface="+mn-cs"/>
              </a:rPr>
              <a:t>Orders by Area</a:t>
            </a:r>
          </a:p>
        </c:rich>
      </c:tx>
      <c:layout>
        <c:manualLayout>
          <c:xMode val="edge"/>
          <c:yMode val="edge"/>
          <c:x val="0.31527162769861644"/>
          <c:y val="2.2522542493564671E-2"/>
        </c:manualLayout>
      </c:layout>
      <c:overlay val="0"/>
      <c:spPr>
        <a:noFill/>
        <a:ln>
          <a:noFill/>
        </a:ln>
        <a:effectLst/>
      </c:spPr>
      <c:txPr>
        <a:bodyPr rot="0" spcFirstLastPara="1" vertOverflow="ellipsis" vert="horz" wrap="square" anchor="ctr" anchorCtr="1"/>
        <a:lstStyle/>
        <a:p>
          <a:pPr algn="ctr" rtl="0">
            <a:defRPr lang="en-GB" sz="1600" b="1" i="0" u="none" strike="noStrike" kern="1200" spc="0" baseline="0">
              <a:solidFill>
                <a:srgbClr val="2940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Table'!$AX$5</c:f>
              <c:strCache>
                <c:ptCount val="1"/>
                <c:pt idx="0">
                  <c:v>Total</c:v>
                </c:pt>
              </c:strCache>
            </c:strRef>
          </c:tx>
          <c:spPr>
            <a:solidFill>
              <a:srgbClr val="A603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Table'!$AW$6:$AW$11</c:f>
              <c:strCache>
                <c:ptCount val="5"/>
                <c:pt idx="0">
                  <c:v>الجيزة</c:v>
                </c:pt>
                <c:pt idx="1">
                  <c:v>القاهرة</c:v>
                </c:pt>
                <c:pt idx="2">
                  <c:v>مصر الجديده</c:v>
                </c:pt>
                <c:pt idx="3">
                  <c:v>التجمع</c:v>
                </c:pt>
                <c:pt idx="4">
                  <c:v>الإسكندرية</c:v>
                </c:pt>
              </c:strCache>
            </c:strRef>
          </c:cat>
          <c:val>
            <c:numRef>
              <c:f>'Pivot Table'!$AX$6:$AX$11</c:f>
              <c:numCache>
                <c:formatCode>_-* #,##0_-;\-* #,##0_-;_-* "-"??_-;_-@_-</c:formatCode>
                <c:ptCount val="5"/>
                <c:pt idx="0">
                  <c:v>328350.5</c:v>
                </c:pt>
                <c:pt idx="1">
                  <c:v>204358.91</c:v>
                </c:pt>
                <c:pt idx="2">
                  <c:v>150034</c:v>
                </c:pt>
                <c:pt idx="3">
                  <c:v>61014</c:v>
                </c:pt>
                <c:pt idx="4">
                  <c:v>54762</c:v>
                </c:pt>
              </c:numCache>
            </c:numRef>
          </c:val>
          <c:extLst>
            <c:ext xmlns:c16="http://schemas.microsoft.com/office/drawing/2014/chart" uri="{C3380CC4-5D6E-409C-BE32-E72D297353CC}">
              <c16:uniqueId val="{00000000-BC48-4B6B-B05A-E61EF2BD4384}"/>
            </c:ext>
          </c:extLst>
        </c:ser>
        <c:dLbls>
          <c:dLblPos val="outEnd"/>
          <c:showLegendKey val="0"/>
          <c:showVal val="1"/>
          <c:showCatName val="0"/>
          <c:showSerName val="0"/>
          <c:showPercent val="0"/>
          <c:showBubbleSize val="0"/>
        </c:dLbls>
        <c:gapWidth val="219"/>
        <c:overlap val="-27"/>
        <c:axId val="1592296336"/>
        <c:axId val="1592296816"/>
      </c:barChart>
      <c:catAx>
        <c:axId val="15922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96816"/>
        <c:crosses val="autoZero"/>
        <c:auto val="1"/>
        <c:lblAlgn val="ctr"/>
        <c:lblOffset val="100"/>
        <c:noMultiLvlLbl val="0"/>
      </c:catAx>
      <c:valAx>
        <c:axId val="1592296816"/>
        <c:scaling>
          <c:orientation val="minMax"/>
        </c:scaling>
        <c:delete val="1"/>
        <c:axPos val="l"/>
        <c:numFmt formatCode="_-* #,##0_-;\-* #,##0_-;_-* &quot;-&quot;??_-;_-@_-" sourceLinked="1"/>
        <c:majorTickMark val="none"/>
        <c:minorTickMark val="none"/>
        <c:tickLblPos val="nextTo"/>
        <c:crossAx val="159229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Ehab Nagy.xlsx]Pivot Table!PivotTable5</c:name>
    <c:fmtId val="15"/>
  </c:pivotSource>
  <c:chart>
    <c:title>
      <c:tx>
        <c:rich>
          <a:bodyPr rot="0" spcFirstLastPara="1" vertOverflow="ellipsis" vert="horz" wrap="square" anchor="ctr" anchorCtr="1"/>
          <a:lstStyle/>
          <a:p>
            <a:pPr algn="ctr" rtl="0">
              <a:defRPr lang="en-US" sz="1600" b="1" i="0" u="none" strike="noStrike" kern="1200" spc="0" baseline="0">
                <a:solidFill>
                  <a:srgbClr val="29406D"/>
                </a:solidFill>
                <a:latin typeface="+mn-lt"/>
                <a:ea typeface="+mn-ea"/>
                <a:cs typeface="+mn-cs"/>
              </a:defRPr>
            </a:pPr>
            <a:r>
              <a:rPr lang="en-US" sz="1600" b="1" i="0" u="none" strike="noStrike" kern="1200" spc="0" baseline="0">
                <a:solidFill>
                  <a:srgbClr val="29406D"/>
                </a:solidFill>
                <a:latin typeface="+mn-lt"/>
                <a:ea typeface="+mn-ea"/>
                <a:cs typeface="+mn-cs"/>
              </a:rPr>
              <a:t>Best Seller</a:t>
            </a:r>
          </a:p>
        </c:rich>
      </c:tx>
      <c:layout>
        <c:manualLayout>
          <c:xMode val="edge"/>
          <c:yMode val="edge"/>
          <c:x val="0.35584604212055193"/>
          <c:y val="3.289473684210526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29406D"/>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60311"/>
            </a:solidFill>
            <a:round/>
          </a:ln>
          <a:effectLst/>
        </c:spPr>
        <c:marker>
          <c:symbol val="circle"/>
          <c:size val="4"/>
          <c:spPr>
            <a:solidFill>
              <a:srgbClr val="A60311"/>
            </a:solidFill>
            <a:ln w="9525">
              <a:solidFill>
                <a:srgbClr val="A6031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A60311"/>
            </a:solidFill>
            <a:round/>
          </a:ln>
          <a:effectLst/>
        </c:spPr>
        <c:marker>
          <c:symbol val="circle"/>
          <c:size val="4"/>
          <c:spPr>
            <a:solidFill>
              <a:srgbClr val="A60311"/>
            </a:solidFill>
            <a:ln w="9525">
              <a:solidFill>
                <a:srgbClr val="A60311"/>
              </a:solidFill>
            </a:ln>
            <a:effectLst/>
          </c:spPr>
        </c:marker>
        <c:dLbl>
          <c:idx val="0"/>
          <c:layout>
            <c:manualLayout>
              <c:x val="-9.358974358974359E-2"/>
              <c:y val="-0.24729843339895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A60311"/>
            </a:solidFill>
            <a:round/>
          </a:ln>
          <a:effectLst/>
        </c:spPr>
        <c:marker>
          <c:symbol val="circle"/>
          <c:size val="4"/>
          <c:spPr>
            <a:solidFill>
              <a:srgbClr val="A60311"/>
            </a:solidFill>
            <a:ln w="9525">
              <a:solidFill>
                <a:srgbClr val="A60311"/>
              </a:solidFill>
            </a:ln>
            <a:effectLst/>
          </c:spPr>
        </c:marker>
        <c:dLbl>
          <c:idx val="0"/>
          <c:layout>
            <c:manualLayout>
              <c:x val="-8.9819004524886878E-2"/>
              <c:y val="-0.27334010006561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A60311"/>
            </a:solidFill>
            <a:round/>
          </a:ln>
          <a:effectLst/>
        </c:spPr>
        <c:marker>
          <c:symbol val="circle"/>
          <c:size val="4"/>
          <c:spPr>
            <a:solidFill>
              <a:srgbClr val="A60311"/>
            </a:solidFill>
            <a:ln w="9525">
              <a:solidFill>
                <a:srgbClr val="A60311"/>
              </a:solidFill>
            </a:ln>
            <a:effectLst/>
          </c:spPr>
        </c:marker>
        <c:dLbl>
          <c:idx val="0"/>
          <c:layout>
            <c:manualLayout>
              <c:x val="-8.9819004524886947E-2"/>
              <c:y val="-0.27334010006561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A60311"/>
            </a:solidFill>
            <a:round/>
          </a:ln>
          <a:effectLst/>
        </c:spPr>
        <c:marker>
          <c:symbol val="circle"/>
          <c:size val="4"/>
          <c:spPr>
            <a:solidFill>
              <a:srgbClr val="A60311"/>
            </a:solidFill>
            <a:ln w="9525">
              <a:solidFill>
                <a:srgbClr val="A60311"/>
              </a:solidFill>
            </a:ln>
            <a:effectLst/>
          </c:spPr>
        </c:marker>
        <c:dLbl>
          <c:idx val="0"/>
          <c:layout>
            <c:manualLayout>
              <c:x val="-8.1221719457013647E-2"/>
              <c:y val="-0.28636093339895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A60311"/>
            </a:solidFill>
            <a:round/>
          </a:ln>
          <a:effectLst/>
        </c:spPr>
        <c:marker>
          <c:symbol val="circle"/>
          <c:size val="4"/>
          <c:spPr>
            <a:solidFill>
              <a:srgbClr val="A60311"/>
            </a:solidFill>
            <a:ln w="9525">
              <a:solidFill>
                <a:srgbClr val="A60311"/>
              </a:solidFill>
            </a:ln>
            <a:effectLst/>
          </c:spPr>
        </c:marker>
        <c:dLbl>
          <c:idx val="0"/>
          <c:layout>
            <c:manualLayout>
              <c:x val="-8.1221719457013578E-2"/>
              <c:y val="-0.27334010006561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A60311"/>
            </a:solidFill>
            <a:round/>
          </a:ln>
          <a:effectLst/>
        </c:spPr>
        <c:marker>
          <c:symbol val="circle"/>
          <c:size val="4"/>
          <c:spPr>
            <a:solidFill>
              <a:srgbClr val="A60311"/>
            </a:solidFill>
            <a:ln w="9525">
              <a:solidFill>
                <a:srgbClr val="A60311"/>
              </a:solidFill>
            </a:ln>
            <a:effectLst/>
          </c:spPr>
        </c:marker>
        <c:dLbl>
          <c:idx val="0"/>
          <c:layout>
            <c:manualLayout>
              <c:x val="-6.4127801332525741E-2"/>
              <c:y val="-0.27334010006561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Table'!$Z$5</c:f>
              <c:strCache>
                <c:ptCount val="1"/>
                <c:pt idx="0">
                  <c:v>Total</c:v>
                </c:pt>
              </c:strCache>
            </c:strRef>
          </c:tx>
          <c:spPr>
            <a:ln w="28575" cap="rnd">
              <a:solidFill>
                <a:srgbClr val="A60311"/>
              </a:solidFill>
              <a:round/>
            </a:ln>
            <a:effectLst/>
          </c:spPr>
          <c:marker>
            <c:symbol val="circle"/>
            <c:size val="4"/>
            <c:spPr>
              <a:solidFill>
                <a:srgbClr val="A60311"/>
              </a:solidFill>
              <a:ln w="9525">
                <a:solidFill>
                  <a:srgbClr val="A60311"/>
                </a:solidFill>
              </a:ln>
              <a:effectLst/>
            </c:spPr>
          </c:marker>
          <c:dPt>
            <c:idx val="0"/>
            <c:marker>
              <c:symbol val="circle"/>
              <c:size val="4"/>
              <c:spPr>
                <a:solidFill>
                  <a:srgbClr val="A60311"/>
                </a:solidFill>
                <a:ln w="9525">
                  <a:solidFill>
                    <a:srgbClr val="A60311"/>
                  </a:solidFill>
                </a:ln>
                <a:effectLst/>
              </c:spPr>
            </c:marker>
            <c:bubble3D val="0"/>
            <c:spPr>
              <a:ln w="28575" cap="rnd">
                <a:solidFill>
                  <a:srgbClr val="A60311"/>
                </a:solidFill>
                <a:round/>
              </a:ln>
              <a:effectLst/>
            </c:spPr>
            <c:extLst>
              <c:ext xmlns:c16="http://schemas.microsoft.com/office/drawing/2014/chart" uri="{C3380CC4-5D6E-409C-BE32-E72D297353CC}">
                <c16:uniqueId val="{00000000-E2B9-4DEA-ACF8-80A23ACF8D43}"/>
              </c:ext>
            </c:extLst>
          </c:dPt>
          <c:dPt>
            <c:idx val="1"/>
            <c:marker>
              <c:symbol val="circle"/>
              <c:size val="4"/>
              <c:spPr>
                <a:solidFill>
                  <a:srgbClr val="A60311"/>
                </a:solidFill>
                <a:ln w="9525">
                  <a:solidFill>
                    <a:srgbClr val="A60311"/>
                  </a:solidFill>
                </a:ln>
                <a:effectLst/>
              </c:spPr>
            </c:marker>
            <c:bubble3D val="0"/>
            <c:spPr>
              <a:ln w="28575" cap="rnd">
                <a:solidFill>
                  <a:srgbClr val="A60311"/>
                </a:solidFill>
                <a:round/>
              </a:ln>
              <a:effectLst/>
            </c:spPr>
            <c:extLst>
              <c:ext xmlns:c16="http://schemas.microsoft.com/office/drawing/2014/chart" uri="{C3380CC4-5D6E-409C-BE32-E72D297353CC}">
                <c16:uniqueId val="{00000001-E2B9-4DEA-ACF8-80A23ACF8D43}"/>
              </c:ext>
            </c:extLst>
          </c:dPt>
          <c:dPt>
            <c:idx val="2"/>
            <c:marker>
              <c:symbol val="circle"/>
              <c:size val="4"/>
              <c:spPr>
                <a:solidFill>
                  <a:srgbClr val="A60311"/>
                </a:solidFill>
                <a:ln w="9525">
                  <a:solidFill>
                    <a:srgbClr val="A60311"/>
                  </a:solidFill>
                </a:ln>
                <a:effectLst/>
              </c:spPr>
            </c:marker>
            <c:bubble3D val="0"/>
            <c:spPr>
              <a:ln w="28575" cap="rnd">
                <a:solidFill>
                  <a:srgbClr val="A60311"/>
                </a:solidFill>
                <a:round/>
              </a:ln>
              <a:effectLst/>
            </c:spPr>
            <c:extLst>
              <c:ext xmlns:c16="http://schemas.microsoft.com/office/drawing/2014/chart" uri="{C3380CC4-5D6E-409C-BE32-E72D297353CC}">
                <c16:uniqueId val="{00000002-E2B9-4DEA-ACF8-80A23ACF8D43}"/>
              </c:ext>
            </c:extLst>
          </c:dPt>
          <c:dPt>
            <c:idx val="3"/>
            <c:marker>
              <c:symbol val="circle"/>
              <c:size val="4"/>
              <c:spPr>
                <a:solidFill>
                  <a:srgbClr val="A60311"/>
                </a:solidFill>
                <a:ln w="9525">
                  <a:solidFill>
                    <a:srgbClr val="A60311"/>
                  </a:solidFill>
                </a:ln>
                <a:effectLst/>
              </c:spPr>
            </c:marker>
            <c:bubble3D val="0"/>
            <c:spPr>
              <a:ln w="28575" cap="rnd">
                <a:solidFill>
                  <a:srgbClr val="A60311"/>
                </a:solidFill>
                <a:round/>
              </a:ln>
              <a:effectLst/>
            </c:spPr>
            <c:extLst>
              <c:ext xmlns:c16="http://schemas.microsoft.com/office/drawing/2014/chart" uri="{C3380CC4-5D6E-409C-BE32-E72D297353CC}">
                <c16:uniqueId val="{00000003-E2B9-4DEA-ACF8-80A23ACF8D43}"/>
              </c:ext>
            </c:extLst>
          </c:dPt>
          <c:dPt>
            <c:idx val="4"/>
            <c:marker>
              <c:symbol val="circle"/>
              <c:size val="4"/>
              <c:spPr>
                <a:solidFill>
                  <a:srgbClr val="A60311"/>
                </a:solidFill>
                <a:ln w="9525">
                  <a:solidFill>
                    <a:srgbClr val="A60311"/>
                  </a:solidFill>
                </a:ln>
                <a:effectLst/>
              </c:spPr>
            </c:marker>
            <c:bubble3D val="0"/>
            <c:spPr>
              <a:ln w="28575" cap="rnd">
                <a:solidFill>
                  <a:srgbClr val="A60311"/>
                </a:solidFill>
                <a:round/>
              </a:ln>
              <a:effectLst/>
            </c:spPr>
            <c:extLst>
              <c:ext xmlns:c16="http://schemas.microsoft.com/office/drawing/2014/chart" uri="{C3380CC4-5D6E-409C-BE32-E72D297353CC}">
                <c16:uniqueId val="{00000004-E2B9-4DEA-ACF8-80A23ACF8D43}"/>
              </c:ext>
            </c:extLst>
          </c:dPt>
          <c:dPt>
            <c:idx val="5"/>
            <c:marker>
              <c:symbol val="circle"/>
              <c:size val="4"/>
              <c:spPr>
                <a:solidFill>
                  <a:srgbClr val="A60311"/>
                </a:solidFill>
                <a:ln w="9525">
                  <a:solidFill>
                    <a:srgbClr val="A60311"/>
                  </a:solidFill>
                </a:ln>
                <a:effectLst/>
              </c:spPr>
            </c:marker>
            <c:bubble3D val="0"/>
            <c:spPr>
              <a:ln w="28575" cap="rnd">
                <a:solidFill>
                  <a:srgbClr val="A60311"/>
                </a:solidFill>
                <a:round/>
              </a:ln>
              <a:effectLst/>
            </c:spPr>
            <c:extLst>
              <c:ext xmlns:c16="http://schemas.microsoft.com/office/drawing/2014/chart" uri="{C3380CC4-5D6E-409C-BE32-E72D297353CC}">
                <c16:uniqueId val="{00000005-E2B9-4DEA-ACF8-80A23ACF8D43}"/>
              </c:ext>
            </c:extLst>
          </c:dPt>
          <c:dLbls>
            <c:dLbl>
              <c:idx val="0"/>
              <c:layout>
                <c:manualLayout>
                  <c:x val="-9.358974358974359E-2"/>
                  <c:y val="-0.247298433398950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B9-4DEA-ACF8-80A23ACF8D43}"/>
                </c:ext>
              </c:extLst>
            </c:dLbl>
            <c:dLbl>
              <c:idx val="1"/>
              <c:layout>
                <c:manualLayout>
                  <c:x val="-8.9819004524886878E-2"/>
                  <c:y val="-0.273340100065616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B9-4DEA-ACF8-80A23ACF8D43}"/>
                </c:ext>
              </c:extLst>
            </c:dLbl>
            <c:dLbl>
              <c:idx val="2"/>
              <c:layout>
                <c:manualLayout>
                  <c:x val="-8.9819004524886947E-2"/>
                  <c:y val="-0.273340100065616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B9-4DEA-ACF8-80A23ACF8D43}"/>
                </c:ext>
              </c:extLst>
            </c:dLbl>
            <c:dLbl>
              <c:idx val="3"/>
              <c:layout>
                <c:manualLayout>
                  <c:x val="-8.1221719457013647E-2"/>
                  <c:y val="-0.286360933398950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B9-4DEA-ACF8-80A23ACF8D43}"/>
                </c:ext>
              </c:extLst>
            </c:dLbl>
            <c:dLbl>
              <c:idx val="4"/>
              <c:layout>
                <c:manualLayout>
                  <c:x val="-8.1221719457013578E-2"/>
                  <c:y val="-0.273340100065616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B9-4DEA-ACF8-80A23ACF8D43}"/>
                </c:ext>
              </c:extLst>
            </c:dLbl>
            <c:dLbl>
              <c:idx val="5"/>
              <c:layout>
                <c:manualLayout>
                  <c:x val="-6.4127801332525741E-2"/>
                  <c:y val="-0.273340100065616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B9-4DEA-ACF8-80A23ACF8D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Table'!$Y$6:$Y$12</c:f>
              <c:strCache>
                <c:ptCount val="6"/>
                <c:pt idx="0">
                  <c:v>سرير</c:v>
                </c:pt>
                <c:pt idx="1">
                  <c:v>كنبة</c:v>
                </c:pt>
                <c:pt idx="2">
                  <c:v>ترابيزه</c:v>
                </c:pt>
                <c:pt idx="3">
                  <c:v>ركنة</c:v>
                </c:pt>
                <c:pt idx="4">
                  <c:v>شيزلونج</c:v>
                </c:pt>
                <c:pt idx="5">
                  <c:v>كرسى</c:v>
                </c:pt>
              </c:strCache>
            </c:strRef>
          </c:cat>
          <c:val>
            <c:numRef>
              <c:f>'Pivot Table'!$Z$6:$Z$12</c:f>
              <c:numCache>
                <c:formatCode>_-* #,##0_-;\-* #,##0_-;_-* "-"??_-;_-@_-</c:formatCode>
                <c:ptCount val="6"/>
                <c:pt idx="0">
                  <c:v>721967.31544000003</c:v>
                </c:pt>
                <c:pt idx="1">
                  <c:v>241234</c:v>
                </c:pt>
                <c:pt idx="2">
                  <c:v>150806</c:v>
                </c:pt>
                <c:pt idx="3">
                  <c:v>22000</c:v>
                </c:pt>
                <c:pt idx="4">
                  <c:v>10000</c:v>
                </c:pt>
                <c:pt idx="5">
                  <c:v>9300</c:v>
                </c:pt>
              </c:numCache>
            </c:numRef>
          </c:val>
          <c:smooth val="1"/>
          <c:extLst>
            <c:ext xmlns:c16="http://schemas.microsoft.com/office/drawing/2014/chart" uri="{C3380CC4-5D6E-409C-BE32-E72D297353CC}">
              <c16:uniqueId val="{00000000-919C-498A-ACCF-A9351349E583}"/>
            </c:ext>
          </c:extLst>
        </c:ser>
        <c:dLbls>
          <c:dLblPos val="t"/>
          <c:showLegendKey val="0"/>
          <c:showVal val="1"/>
          <c:showCatName val="0"/>
          <c:showSerName val="0"/>
          <c:showPercent val="0"/>
          <c:showBubbleSize val="0"/>
        </c:dLbls>
        <c:marker val="1"/>
        <c:smooth val="0"/>
        <c:axId val="1690381840"/>
        <c:axId val="1690378960"/>
      </c:lineChart>
      <c:catAx>
        <c:axId val="16903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378960"/>
        <c:crosses val="autoZero"/>
        <c:auto val="1"/>
        <c:lblAlgn val="ctr"/>
        <c:lblOffset val="100"/>
        <c:noMultiLvlLbl val="0"/>
      </c:catAx>
      <c:valAx>
        <c:axId val="1690378960"/>
        <c:scaling>
          <c:orientation val="minMax"/>
        </c:scaling>
        <c:delete val="1"/>
        <c:axPos val="l"/>
        <c:numFmt formatCode="_-* #,##0_-;\-* #,##0_-;_-* &quot;-&quot;??_-;_-@_-" sourceLinked="1"/>
        <c:majorTickMark val="none"/>
        <c:minorTickMark val="none"/>
        <c:tickLblPos val="nextTo"/>
        <c:crossAx val="169038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Ahmed Ehab Nagy.xlsx]Pivot Table!PivotTable6</c:name>
    <c:fmtId val="5"/>
  </c:pivotSource>
  <c:chart>
    <c:title>
      <c:tx>
        <c:rich>
          <a:bodyPr rot="0" spcFirstLastPara="1" vertOverflow="ellipsis" vert="horz" wrap="square" anchor="ctr" anchorCtr="1"/>
          <a:lstStyle/>
          <a:p>
            <a:pPr algn="ctr" rtl="0">
              <a:defRPr lang="en-US" sz="1600" b="1" i="0" u="none" strike="noStrike" kern="1200" spc="0" baseline="0">
                <a:solidFill>
                  <a:srgbClr val="29406D"/>
                </a:solidFill>
                <a:latin typeface="+mn-lt"/>
                <a:ea typeface="+mn-ea"/>
                <a:cs typeface="+mn-cs"/>
              </a:defRPr>
            </a:pPr>
            <a:r>
              <a:rPr lang="en-US" sz="1600" b="1" i="0" u="none" strike="noStrike" kern="1200" spc="0" baseline="0">
                <a:solidFill>
                  <a:srgbClr val="29406D"/>
                </a:solidFill>
                <a:latin typeface="+mn-lt"/>
                <a:ea typeface="+mn-ea"/>
                <a:cs typeface="+mn-cs"/>
              </a:rPr>
              <a:t>Best Color Sold</a:t>
            </a:r>
          </a:p>
        </c:rich>
      </c:tx>
      <c:layout>
        <c:manualLayout>
          <c:xMode val="edge"/>
          <c:yMode val="edge"/>
          <c:x val="0.19165145117729848"/>
          <c:y val="1.4601754877727663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29406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6031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0311"/>
          </a:solidFill>
          <a:ln>
            <a:solidFill>
              <a:schemeClr val="bg1"/>
            </a:solidFill>
          </a:ln>
          <a:effectLst/>
        </c:spPr>
        <c:dLbl>
          <c:idx val="0"/>
          <c:layout>
            <c:manualLayout>
              <c:x val="5.9097198448020083E-2"/>
              <c:y val="-3.74316939890707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44579258553536"/>
                  <c:h val="0.16553885529502183"/>
                </c:manualLayout>
              </c15:layout>
            </c:ext>
          </c:extLst>
        </c:dLbl>
      </c:pivotFmt>
      <c:pivotFmt>
        <c:idx val="4"/>
        <c:spPr>
          <a:solidFill>
            <a:srgbClr val="A60311"/>
          </a:solidFill>
          <a:ln>
            <a:solidFill>
              <a:schemeClr val="bg1"/>
            </a:solidFill>
          </a:ln>
          <a:effectLst/>
        </c:spPr>
        <c:dLbl>
          <c:idx val="0"/>
          <c:layout>
            <c:manualLayout>
              <c:x val="5.3057837878960783E-2"/>
              <c:y val="-9.207865410266339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75126478755376"/>
                  <c:h val="0.22018372703412073"/>
                </c:manualLayout>
              </c15:layout>
            </c:ext>
          </c:extLst>
        </c:dLbl>
      </c:pivotFmt>
      <c:pivotFmt>
        <c:idx val="5"/>
        <c:spPr>
          <a:solidFill>
            <a:srgbClr val="A60311"/>
          </a:solidFill>
          <a:ln>
            <a:solidFill>
              <a:schemeClr val="bg1"/>
            </a:solidFill>
          </a:ln>
          <a:effectLst/>
        </c:spPr>
        <c:dLbl>
          <c:idx val="0"/>
          <c:layout>
            <c:manualLayout>
              <c:x val="7.7105575326215897E-2"/>
              <c:y val="-4.60405156537753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60311"/>
          </a:solidFill>
          <a:ln>
            <a:solidFill>
              <a:schemeClr val="bg1"/>
            </a:solidFill>
          </a:ln>
          <a:effectLst/>
        </c:spPr>
        <c:dLbl>
          <c:idx val="0"/>
          <c:layout>
            <c:manualLayout>
              <c:x val="0.112692763938315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0311"/>
          </a:solidFill>
          <a:ln>
            <a:solidFill>
              <a:schemeClr val="bg1"/>
            </a:solidFill>
          </a:ln>
          <a:effectLst/>
        </c:spPr>
        <c:dLbl>
          <c:idx val="0"/>
          <c:layout>
            <c:manualLayout>
              <c:x val="0.1126927639383155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0311"/>
          </a:solidFill>
          <a:ln>
            <a:solidFill>
              <a:schemeClr val="bg1"/>
            </a:solidFill>
          </a:ln>
          <a:effectLst/>
        </c:spPr>
        <c:dLbl>
          <c:idx val="0"/>
          <c:layout>
            <c:manualLayout>
              <c:x val="0.1067615658362988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60311"/>
          </a:solidFill>
          <a:ln>
            <a:solidFill>
              <a:schemeClr val="bg1"/>
            </a:solidFill>
          </a:ln>
          <a:effectLst/>
        </c:spPr>
        <c:dLbl>
          <c:idx val="0"/>
          <c:layout>
            <c:manualLayout>
              <c:x val="0.1008303677342822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60311"/>
          </a:solidFill>
          <a:ln>
            <a:solidFill>
              <a:schemeClr val="bg1"/>
            </a:solidFill>
          </a:ln>
          <a:effectLst/>
        </c:spPr>
        <c:dLbl>
          <c:idx val="0"/>
          <c:layout>
            <c:manualLayout>
              <c:x val="0.1008303677342823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60311"/>
          </a:solidFill>
          <a:ln>
            <a:solidFill>
              <a:schemeClr val="bg1"/>
            </a:solidFill>
          </a:ln>
          <a:effectLst/>
        </c:spPr>
        <c:dLbl>
          <c:idx val="0"/>
          <c:layout>
            <c:manualLayout>
              <c:x val="0.112692763938315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60311"/>
          </a:solidFill>
          <a:ln>
            <a:solidFill>
              <a:schemeClr val="bg1"/>
            </a:solidFill>
          </a:ln>
          <a:effectLst/>
        </c:spPr>
        <c:dLbl>
          <c:idx val="0"/>
          <c:layout>
            <c:manualLayout>
              <c:x val="0.11269276393831554"/>
              <c:y val="-4.22033184796242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87386630052023"/>
          <c:y val="0.17076427255985269"/>
          <c:w val="0.72426373749544648"/>
          <c:h val="0.7785911602209945"/>
        </c:manualLayout>
      </c:layout>
      <c:barChart>
        <c:barDir val="bar"/>
        <c:grouping val="clustered"/>
        <c:varyColors val="0"/>
        <c:ser>
          <c:idx val="0"/>
          <c:order val="0"/>
          <c:tx>
            <c:strRef>
              <c:f>'Pivot Table'!$AF$5</c:f>
              <c:strCache>
                <c:ptCount val="1"/>
                <c:pt idx="0">
                  <c:v>Total</c:v>
                </c:pt>
              </c:strCache>
            </c:strRef>
          </c:tx>
          <c:spPr>
            <a:solidFill>
              <a:srgbClr val="A60311"/>
            </a:solidFill>
            <a:ln>
              <a:solidFill>
                <a:schemeClr val="bg1"/>
              </a:solidFill>
            </a:ln>
            <a:effectLst/>
          </c:spPr>
          <c:invertIfNegative val="0"/>
          <c:dPt>
            <c:idx val="0"/>
            <c:invertIfNegative val="0"/>
            <c:bubble3D val="0"/>
            <c:spPr>
              <a:solidFill>
                <a:srgbClr val="A60311"/>
              </a:solidFill>
              <a:ln>
                <a:solidFill>
                  <a:schemeClr val="bg1"/>
                </a:solidFill>
              </a:ln>
              <a:effectLst/>
            </c:spPr>
            <c:extLst>
              <c:ext xmlns:c16="http://schemas.microsoft.com/office/drawing/2014/chart" uri="{C3380CC4-5D6E-409C-BE32-E72D297353CC}">
                <c16:uniqueId val="{00000001-C7E0-46F9-9C4C-1655A7FFBB8B}"/>
              </c:ext>
            </c:extLst>
          </c:dPt>
          <c:dPt>
            <c:idx val="1"/>
            <c:invertIfNegative val="0"/>
            <c:bubble3D val="0"/>
            <c:spPr>
              <a:solidFill>
                <a:srgbClr val="A60311"/>
              </a:solidFill>
              <a:ln>
                <a:solidFill>
                  <a:schemeClr val="bg1"/>
                </a:solidFill>
              </a:ln>
              <a:effectLst/>
            </c:spPr>
            <c:extLst>
              <c:ext xmlns:c16="http://schemas.microsoft.com/office/drawing/2014/chart" uri="{C3380CC4-5D6E-409C-BE32-E72D297353CC}">
                <c16:uniqueId val="{00000001-BAD0-46DF-B210-CA5787EF2862}"/>
              </c:ext>
            </c:extLst>
          </c:dPt>
          <c:dPt>
            <c:idx val="2"/>
            <c:invertIfNegative val="0"/>
            <c:bubble3D val="0"/>
            <c:spPr>
              <a:solidFill>
                <a:srgbClr val="A60311"/>
              </a:solidFill>
              <a:ln>
                <a:solidFill>
                  <a:schemeClr val="bg1"/>
                </a:solidFill>
              </a:ln>
              <a:effectLst/>
            </c:spPr>
            <c:extLst>
              <c:ext xmlns:c16="http://schemas.microsoft.com/office/drawing/2014/chart" uri="{C3380CC4-5D6E-409C-BE32-E72D297353CC}">
                <c16:uniqueId val="{00000002-BAD0-46DF-B210-CA5787EF2862}"/>
              </c:ext>
            </c:extLst>
          </c:dPt>
          <c:dPt>
            <c:idx val="3"/>
            <c:invertIfNegative val="0"/>
            <c:bubble3D val="0"/>
            <c:spPr>
              <a:solidFill>
                <a:srgbClr val="A60311"/>
              </a:solidFill>
              <a:ln>
                <a:solidFill>
                  <a:schemeClr val="bg1"/>
                </a:solidFill>
              </a:ln>
              <a:effectLst/>
            </c:spPr>
            <c:extLst>
              <c:ext xmlns:c16="http://schemas.microsoft.com/office/drawing/2014/chart" uri="{C3380CC4-5D6E-409C-BE32-E72D297353CC}">
                <c16:uniqueId val="{00000003-BAD0-46DF-B210-CA5787EF2862}"/>
              </c:ext>
            </c:extLst>
          </c:dPt>
          <c:dPt>
            <c:idx val="4"/>
            <c:invertIfNegative val="0"/>
            <c:bubble3D val="0"/>
            <c:spPr>
              <a:solidFill>
                <a:srgbClr val="A60311"/>
              </a:solidFill>
              <a:ln>
                <a:solidFill>
                  <a:schemeClr val="bg1"/>
                </a:solidFill>
              </a:ln>
              <a:effectLst/>
            </c:spPr>
            <c:extLst>
              <c:ext xmlns:c16="http://schemas.microsoft.com/office/drawing/2014/chart" uri="{C3380CC4-5D6E-409C-BE32-E72D297353CC}">
                <c16:uniqueId val="{00000004-BAD0-46DF-B210-CA5787EF2862}"/>
              </c:ext>
            </c:extLst>
          </c:dPt>
          <c:dPt>
            <c:idx val="5"/>
            <c:invertIfNegative val="0"/>
            <c:bubble3D val="0"/>
            <c:spPr>
              <a:solidFill>
                <a:srgbClr val="A60311"/>
              </a:solidFill>
              <a:ln>
                <a:solidFill>
                  <a:schemeClr val="bg1"/>
                </a:solidFill>
              </a:ln>
              <a:effectLst/>
            </c:spPr>
            <c:extLst>
              <c:ext xmlns:c16="http://schemas.microsoft.com/office/drawing/2014/chart" uri="{C3380CC4-5D6E-409C-BE32-E72D297353CC}">
                <c16:uniqueId val="{00000005-BAD0-46DF-B210-CA5787EF2862}"/>
              </c:ext>
            </c:extLst>
          </c:dPt>
          <c:dPt>
            <c:idx val="6"/>
            <c:invertIfNegative val="0"/>
            <c:bubble3D val="0"/>
            <c:spPr>
              <a:solidFill>
                <a:srgbClr val="A60311"/>
              </a:solidFill>
              <a:ln>
                <a:solidFill>
                  <a:schemeClr val="bg1"/>
                </a:solidFill>
              </a:ln>
              <a:effectLst/>
            </c:spPr>
            <c:extLst>
              <c:ext xmlns:c16="http://schemas.microsoft.com/office/drawing/2014/chart" uri="{C3380CC4-5D6E-409C-BE32-E72D297353CC}">
                <c16:uniqueId val="{00000006-BAD0-46DF-B210-CA5787EF2862}"/>
              </c:ext>
            </c:extLst>
          </c:dPt>
          <c:dPt>
            <c:idx val="7"/>
            <c:invertIfNegative val="0"/>
            <c:bubble3D val="0"/>
            <c:spPr>
              <a:solidFill>
                <a:srgbClr val="A60311"/>
              </a:solidFill>
              <a:ln>
                <a:solidFill>
                  <a:schemeClr val="bg1"/>
                </a:solidFill>
              </a:ln>
              <a:effectLst/>
            </c:spPr>
            <c:extLst>
              <c:ext xmlns:c16="http://schemas.microsoft.com/office/drawing/2014/chart" uri="{C3380CC4-5D6E-409C-BE32-E72D297353CC}">
                <c16:uniqueId val="{00000007-BAD0-46DF-B210-CA5787EF2862}"/>
              </c:ext>
            </c:extLst>
          </c:dPt>
          <c:dPt>
            <c:idx val="8"/>
            <c:invertIfNegative val="0"/>
            <c:bubble3D val="0"/>
            <c:spPr>
              <a:solidFill>
                <a:srgbClr val="A60311"/>
              </a:solidFill>
              <a:ln>
                <a:solidFill>
                  <a:schemeClr val="bg1"/>
                </a:solidFill>
              </a:ln>
              <a:effectLst/>
            </c:spPr>
            <c:extLst>
              <c:ext xmlns:c16="http://schemas.microsoft.com/office/drawing/2014/chart" uri="{C3380CC4-5D6E-409C-BE32-E72D297353CC}">
                <c16:uniqueId val="{00000009-BAD0-46DF-B210-CA5787EF2862}"/>
              </c:ext>
            </c:extLst>
          </c:dPt>
          <c:dPt>
            <c:idx val="9"/>
            <c:invertIfNegative val="0"/>
            <c:bubble3D val="0"/>
            <c:spPr>
              <a:solidFill>
                <a:srgbClr val="A60311"/>
              </a:solidFill>
              <a:ln>
                <a:solidFill>
                  <a:schemeClr val="bg1"/>
                </a:solidFill>
              </a:ln>
              <a:effectLst/>
            </c:spPr>
            <c:extLst>
              <c:ext xmlns:c16="http://schemas.microsoft.com/office/drawing/2014/chart" uri="{C3380CC4-5D6E-409C-BE32-E72D297353CC}">
                <c16:uniqueId val="{0000000A-BAD0-46DF-B210-CA5787EF2862}"/>
              </c:ext>
            </c:extLst>
          </c:dPt>
          <c:dLbls>
            <c:dLbl>
              <c:idx val="0"/>
              <c:layout>
                <c:manualLayout>
                  <c:x val="0.11269276393831554"/>
                  <c:y val="-4.220331847962428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E0-46F9-9C4C-1655A7FFBB8B}"/>
                </c:ext>
              </c:extLst>
            </c:dLbl>
            <c:dLbl>
              <c:idx val="1"/>
              <c:layout>
                <c:manualLayout>
                  <c:x val="0.1126927639383154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D0-46DF-B210-CA5787EF2862}"/>
                </c:ext>
              </c:extLst>
            </c:dLbl>
            <c:dLbl>
              <c:idx val="2"/>
              <c:layout>
                <c:manualLayout>
                  <c:x val="0.1008303677342823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D0-46DF-B210-CA5787EF2862}"/>
                </c:ext>
              </c:extLst>
            </c:dLbl>
            <c:dLbl>
              <c:idx val="3"/>
              <c:layout>
                <c:manualLayout>
                  <c:x val="0.1008303677342822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D0-46DF-B210-CA5787EF2862}"/>
                </c:ext>
              </c:extLst>
            </c:dLbl>
            <c:dLbl>
              <c:idx val="4"/>
              <c:layout>
                <c:manualLayout>
                  <c:x val="0.1067615658362988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D0-46DF-B210-CA5787EF2862}"/>
                </c:ext>
              </c:extLst>
            </c:dLbl>
            <c:dLbl>
              <c:idx val="5"/>
              <c:layout>
                <c:manualLayout>
                  <c:x val="0.11269276393831554"/>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D0-46DF-B210-CA5787EF2862}"/>
                </c:ext>
              </c:extLst>
            </c:dLbl>
            <c:dLbl>
              <c:idx val="6"/>
              <c:layout>
                <c:manualLayout>
                  <c:x val="0.1126927639383155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D0-46DF-B210-CA5787EF2862}"/>
                </c:ext>
              </c:extLst>
            </c:dLbl>
            <c:dLbl>
              <c:idx val="7"/>
              <c:layout>
                <c:manualLayout>
                  <c:x val="7.7105575326215897E-2"/>
                  <c:y val="-4.60405156537753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D0-46DF-B210-CA5787EF2862}"/>
                </c:ext>
              </c:extLst>
            </c:dLbl>
            <c:dLbl>
              <c:idx val="8"/>
              <c:layout>
                <c:manualLayout>
                  <c:x val="5.9097198448020083E-2"/>
                  <c:y val="-3.74316939890707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344579258553536"/>
                      <c:h val="0.16553885529502183"/>
                    </c:manualLayout>
                  </c15:layout>
                </c:ext>
                <c:ext xmlns:c16="http://schemas.microsoft.com/office/drawing/2014/chart" uri="{C3380CC4-5D6E-409C-BE32-E72D297353CC}">
                  <c16:uniqueId val="{00000009-BAD0-46DF-B210-CA5787EF2862}"/>
                </c:ext>
              </c:extLst>
            </c:dLbl>
            <c:dLbl>
              <c:idx val="9"/>
              <c:layout>
                <c:manualLayout>
                  <c:x val="5.3057837878960783E-2"/>
                  <c:y val="-9.207865410266339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075126478755376"/>
                      <c:h val="0.22018372703412073"/>
                    </c:manualLayout>
                  </c15:layout>
                </c:ext>
                <c:ext xmlns:c16="http://schemas.microsoft.com/office/drawing/2014/chart" uri="{C3380CC4-5D6E-409C-BE32-E72D297353CC}">
                  <c16:uniqueId val="{0000000A-BAD0-46DF-B210-CA5787EF28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Table'!$AE$6:$AE$16</c:f>
              <c:strCache>
                <c:ptCount val="10"/>
                <c:pt idx="0">
                  <c:v>نبيتى</c:v>
                </c:pt>
                <c:pt idx="1">
                  <c:v>اسود وبنى</c:v>
                </c:pt>
                <c:pt idx="2">
                  <c:v>دهبي</c:v>
                </c:pt>
                <c:pt idx="3">
                  <c:v>بنفسجى</c:v>
                </c:pt>
                <c:pt idx="4">
                  <c:v>بينك</c:v>
                </c:pt>
                <c:pt idx="5">
                  <c:v>ازرق</c:v>
                </c:pt>
                <c:pt idx="6">
                  <c:v>ملون</c:v>
                </c:pt>
                <c:pt idx="7">
                  <c:v>رمادى</c:v>
                </c:pt>
                <c:pt idx="8">
                  <c:v>ابيض</c:v>
                </c:pt>
                <c:pt idx="9">
                  <c:v>اسود</c:v>
                </c:pt>
              </c:strCache>
            </c:strRef>
          </c:cat>
          <c:val>
            <c:numRef>
              <c:f>'Pivot Table'!$AF$6:$AF$16</c:f>
              <c:numCache>
                <c:formatCode>_-* #,##0_-;\-* #,##0_-;_-* "-"??_-;_-@_-</c:formatCode>
                <c:ptCount val="10"/>
                <c:pt idx="0">
                  <c:v>5135</c:v>
                </c:pt>
                <c:pt idx="1">
                  <c:v>6250</c:v>
                </c:pt>
                <c:pt idx="2">
                  <c:v>15228</c:v>
                </c:pt>
                <c:pt idx="3">
                  <c:v>25244</c:v>
                </c:pt>
                <c:pt idx="4">
                  <c:v>25798</c:v>
                </c:pt>
                <c:pt idx="5">
                  <c:v>29771</c:v>
                </c:pt>
                <c:pt idx="6">
                  <c:v>29867.315440000002</c:v>
                </c:pt>
                <c:pt idx="7">
                  <c:v>95041</c:v>
                </c:pt>
                <c:pt idx="8">
                  <c:v>282045</c:v>
                </c:pt>
                <c:pt idx="9">
                  <c:v>640928</c:v>
                </c:pt>
              </c:numCache>
            </c:numRef>
          </c:val>
          <c:extLst>
            <c:ext xmlns:c16="http://schemas.microsoft.com/office/drawing/2014/chart" uri="{C3380CC4-5D6E-409C-BE32-E72D297353CC}">
              <c16:uniqueId val="{00000000-0504-42F6-8C08-5C39A3C5E9AC}"/>
            </c:ext>
          </c:extLst>
        </c:ser>
        <c:dLbls>
          <c:dLblPos val="outEnd"/>
          <c:showLegendKey val="0"/>
          <c:showVal val="1"/>
          <c:showCatName val="0"/>
          <c:showSerName val="0"/>
          <c:showPercent val="0"/>
          <c:showBubbleSize val="0"/>
        </c:dLbls>
        <c:gapWidth val="182"/>
        <c:axId val="760856719"/>
        <c:axId val="760840399"/>
      </c:barChart>
      <c:catAx>
        <c:axId val="76085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840399"/>
        <c:crosses val="autoZero"/>
        <c:auto val="1"/>
        <c:lblAlgn val="ctr"/>
        <c:lblOffset val="100"/>
        <c:noMultiLvlLbl val="0"/>
      </c:catAx>
      <c:valAx>
        <c:axId val="760840399"/>
        <c:scaling>
          <c:orientation val="minMax"/>
        </c:scaling>
        <c:delete val="1"/>
        <c:axPos val="b"/>
        <c:numFmt formatCode="_-* #,##0_-;\-* #,##0_-;_-* &quot;-&quot;??_-;_-@_-" sourceLinked="1"/>
        <c:majorTickMark val="none"/>
        <c:minorTickMark val="none"/>
        <c:tickLblPos val="nextTo"/>
        <c:crossAx val="76085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[MISUO - Ahmed Ehab Nagy.xlsx]Pivot Table!PivotTable7</c:name>
    <c:fmtId val="3"/>
  </c:pivotSource>
  <c:chart>
    <c:title>
      <c:tx>
        <c:rich>
          <a:bodyPr rot="0" spcFirstLastPara="1" vertOverflow="ellipsis" vert="horz" wrap="square" anchor="ctr" anchorCtr="1"/>
          <a:lstStyle/>
          <a:p>
            <a:pPr algn="ctr" rtl="0">
              <a:defRPr lang="en-US" sz="1600" b="1" i="0" u="none" strike="noStrike" kern="1200" spc="0" baseline="0">
                <a:solidFill>
                  <a:srgbClr val="29406D"/>
                </a:solidFill>
                <a:latin typeface="+mn-lt"/>
                <a:ea typeface="+mn-ea"/>
                <a:cs typeface="+mn-cs"/>
              </a:defRPr>
            </a:pPr>
            <a:r>
              <a:rPr lang="en-US" sz="1200" b="1" i="0" u="none" strike="noStrike" kern="1200" spc="0" baseline="0">
                <a:solidFill>
                  <a:srgbClr val="29406D"/>
                </a:solidFill>
                <a:latin typeface="+mn-lt"/>
                <a:ea typeface="+mn-ea"/>
                <a:cs typeface="+mn-cs"/>
              </a:rPr>
              <a:t>On-Time Delivery Rate</a:t>
            </a:r>
          </a:p>
        </c:rich>
      </c:tx>
      <c:layout>
        <c:manualLayout>
          <c:xMode val="edge"/>
          <c:yMode val="edge"/>
          <c:x val="0.1285780453913849"/>
          <c:y val="1.851851851851851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29406D"/>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layout>
            <c:manualLayout>
              <c:x val="-1.5679158902847067E-2"/>
              <c:y val="-0.16993875765529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267786660255255E-2"/>
              <c:y val="3.6715514727325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65000"/>
            </a:schemeClr>
          </a:solidFill>
          <a:ln w="19050">
            <a:solidFill>
              <a:schemeClr val="lt1"/>
            </a:solidFill>
          </a:ln>
          <a:effectLst/>
        </c:spPr>
        <c:dLbl>
          <c:idx val="0"/>
          <c:layout>
            <c:manualLayout>
              <c:x val="-4.9473813387830336E-2"/>
              <c:y val="-5.0488480606590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Table'!$AL$5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B73B-46C4-AD65-6862546220C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73B-46C4-AD65-6862546220C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B73B-46C4-AD65-6862546220C8}"/>
              </c:ext>
            </c:extLst>
          </c:dPt>
          <c:dLbls>
            <c:dLbl>
              <c:idx val="0"/>
              <c:layout>
                <c:manualLayout>
                  <c:x val="-1.5679158902847067E-2"/>
                  <c:y val="-0.1699387576552930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3B-46C4-AD65-6862546220C8}"/>
                </c:ext>
              </c:extLst>
            </c:dLbl>
            <c:dLbl>
              <c:idx val="1"/>
              <c:layout>
                <c:manualLayout>
                  <c:x val="-2.7267786660255255E-2"/>
                  <c:y val="3.67155147273257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3B-46C4-AD65-6862546220C8}"/>
                </c:ext>
              </c:extLst>
            </c:dLbl>
            <c:dLbl>
              <c:idx val="2"/>
              <c:layout>
                <c:manualLayout>
                  <c:x val="-4.9473813387830336E-2"/>
                  <c:y val="-5.04884806065908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3B-46C4-AD65-686254622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Table'!$AK$6:$AK$9</c:f>
              <c:strCache>
                <c:ptCount val="3"/>
                <c:pt idx="0">
                  <c:v>تأخير</c:v>
                </c:pt>
                <c:pt idx="1">
                  <c:v>في الموعد</c:v>
                </c:pt>
                <c:pt idx="2">
                  <c:v>لاغى</c:v>
                </c:pt>
              </c:strCache>
            </c:strRef>
          </c:cat>
          <c:val>
            <c:numRef>
              <c:f>'Pivot Table'!$AL$6:$AL$9</c:f>
              <c:numCache>
                <c:formatCode>0%</c:formatCode>
                <c:ptCount val="3"/>
                <c:pt idx="0">
                  <c:v>0.44144144144144143</c:v>
                </c:pt>
                <c:pt idx="1">
                  <c:v>0.38738738738738737</c:v>
                </c:pt>
                <c:pt idx="2">
                  <c:v>0.17117117117117117</c:v>
                </c:pt>
              </c:numCache>
            </c:numRef>
          </c:val>
          <c:extLst>
            <c:ext xmlns:c16="http://schemas.microsoft.com/office/drawing/2014/chart" uri="{C3380CC4-5D6E-409C-BE32-E72D297353CC}">
              <c16:uniqueId val="{00000006-B73B-46C4-AD65-6862546220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[MISUO - Ahmed Ehab Nagy.xlsx]Pivot Table!PivotTable8</c:name>
    <c:fmtId val="9"/>
  </c:pivotSource>
  <c:chart>
    <c:title>
      <c:tx>
        <c:rich>
          <a:bodyPr rot="0" spcFirstLastPara="1" vertOverflow="ellipsis" vert="horz" wrap="square" anchor="ctr" anchorCtr="1"/>
          <a:lstStyle/>
          <a:p>
            <a:pPr algn="ctr" rtl="0">
              <a:defRPr lang="en-US" sz="1200" b="1" i="0" u="none" strike="noStrike" kern="1200" spc="0" baseline="0">
                <a:solidFill>
                  <a:srgbClr val="29406D"/>
                </a:solidFill>
                <a:latin typeface="+mn-lt"/>
                <a:ea typeface="+mn-ea"/>
                <a:cs typeface="+mn-cs"/>
              </a:defRPr>
            </a:pPr>
            <a:r>
              <a:rPr lang="en-US" sz="1200" b="1" i="0" u="none" strike="noStrike" kern="1200" spc="0" baseline="0">
                <a:solidFill>
                  <a:srgbClr val="29406D"/>
                </a:solidFill>
                <a:latin typeface="+mn-lt"/>
                <a:ea typeface="+mn-ea"/>
                <a:cs typeface="+mn-cs"/>
              </a:rPr>
              <a:t>Delivery Status Breakdown</a:t>
            </a:r>
          </a:p>
        </c:rich>
      </c:tx>
      <c:layout>
        <c:manualLayout>
          <c:xMode val="edge"/>
          <c:yMode val="edge"/>
          <c:x val="0.11523972602739725"/>
          <c:y val="1.8757437928954533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29406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3.6933352080989877E-2"/>
              <c:y val="-1.54022663334738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6.4991329208848897E-2"/>
              <c:y val="-1.88033382054788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6.6094394450693664E-2"/>
              <c:y val="-9.82083077938610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8.0457442819647548E-2"/>
              <c:y val="-5.8720273602163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Table'!$AR$5</c:f>
              <c:strCache>
                <c:ptCount val="1"/>
                <c:pt idx="0">
                  <c:v>Total</c:v>
                </c:pt>
              </c:strCache>
            </c:strRef>
          </c:tx>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E39B-4BD3-8CA7-D4C867719D62}"/>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E39B-4BD3-8CA7-D4C867719D62}"/>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E39B-4BD3-8CA7-D4C867719D62}"/>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E39B-4BD3-8CA7-D4C867719D62}"/>
              </c:ext>
            </c:extLst>
          </c:dPt>
          <c:dLbls>
            <c:dLbl>
              <c:idx val="0"/>
              <c:layout>
                <c:manualLayout>
                  <c:x val="3.6933352080989877E-2"/>
                  <c:y val="-1.54022663334738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9B-4BD3-8CA7-D4C867719D62}"/>
                </c:ext>
              </c:extLst>
            </c:dLbl>
            <c:dLbl>
              <c:idx val="1"/>
              <c:layout>
                <c:manualLayout>
                  <c:x val="-6.4991329208848897E-2"/>
                  <c:y val="-1.88033382054788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9B-4BD3-8CA7-D4C867719D62}"/>
                </c:ext>
              </c:extLst>
            </c:dLbl>
            <c:dLbl>
              <c:idx val="2"/>
              <c:layout>
                <c:manualLayout>
                  <c:x val="-6.6094394450693664E-2"/>
                  <c:y val="-9.820830779386109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9B-4BD3-8CA7-D4C867719D62}"/>
                </c:ext>
              </c:extLst>
            </c:dLbl>
            <c:dLbl>
              <c:idx val="3"/>
              <c:layout>
                <c:manualLayout>
                  <c:x val="8.0457442819647548E-2"/>
                  <c:y val="-5.87202736021633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9B-4BD3-8CA7-D4C867719D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9406D"/>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Table'!$AQ$6:$AQ$10</c:f>
              <c:strCache>
                <c:ptCount val="4"/>
                <c:pt idx="0">
                  <c:v>تم التسليم</c:v>
                </c:pt>
                <c:pt idx="1">
                  <c:v>تم التصنيع</c:v>
                </c:pt>
                <c:pt idx="2">
                  <c:v>لاغى</c:v>
                </c:pt>
                <c:pt idx="3">
                  <c:v>مرتجع</c:v>
                </c:pt>
              </c:strCache>
            </c:strRef>
          </c:cat>
          <c:val>
            <c:numRef>
              <c:f>'Pivot Table'!$AR$6:$AR$10</c:f>
              <c:numCache>
                <c:formatCode>0%</c:formatCode>
                <c:ptCount val="4"/>
                <c:pt idx="0">
                  <c:v>0.81081081081081086</c:v>
                </c:pt>
                <c:pt idx="1">
                  <c:v>9.0090090090090089E-3</c:v>
                </c:pt>
                <c:pt idx="2">
                  <c:v>0.17117117117117117</c:v>
                </c:pt>
                <c:pt idx="3">
                  <c:v>9.0090090090090089E-3</c:v>
                </c:pt>
              </c:numCache>
            </c:numRef>
          </c:val>
          <c:extLst>
            <c:ext xmlns:c16="http://schemas.microsoft.com/office/drawing/2014/chart" uri="{C3380CC4-5D6E-409C-BE32-E72D297353CC}">
              <c16:uniqueId val="{00000008-E39B-4BD3-8CA7-D4C867719D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460926545140761"/>
          <c:y val="0.30376230314960628"/>
          <c:w val="0.33787740818112016"/>
          <c:h val="0.62629888655222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1.jpeg"/><Relationship Id="rId1" Type="http://schemas.openxmlformats.org/officeDocument/2006/relationships/hyperlink" Target="#Table!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141117</xdr:colOff>
      <xdr:row>3</xdr:row>
      <xdr:rowOff>60961</xdr:rowOff>
    </xdr:from>
    <xdr:to>
      <xdr:col>11</xdr:col>
      <xdr:colOff>4832</xdr:colOff>
      <xdr:row>9</xdr:row>
      <xdr:rowOff>113454</xdr:rowOff>
    </xdr:to>
    <xdr:sp macro="" textlink="">
      <xdr:nvSpPr>
        <xdr:cNvPr id="43" name="Rectangle: Rounded Corners 42">
          <a:extLst>
            <a:ext uri="{FF2B5EF4-FFF2-40B4-BE49-F238E27FC236}">
              <a16:creationId xmlns:a16="http://schemas.microsoft.com/office/drawing/2014/main" id="{C9C0954A-9115-4738-9B11-50529A0A8A1B}"/>
            </a:ext>
          </a:extLst>
        </xdr:cNvPr>
        <xdr:cNvSpPr/>
      </xdr:nvSpPr>
      <xdr:spPr>
        <a:xfrm>
          <a:off x="4499757" y="609601"/>
          <a:ext cx="2302115" cy="1149773"/>
        </a:xfrm>
        <a:prstGeom prst="roundRect">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rgbClr val="29406D"/>
            </a:solidFill>
            <a:latin typeface="+mn-lt"/>
            <a:ea typeface="+mn-ea"/>
            <a:cs typeface="+mn-cs"/>
          </a:endParaRPr>
        </a:p>
      </xdr:txBody>
    </xdr:sp>
    <xdr:clientData/>
  </xdr:twoCellAnchor>
  <xdr:twoCellAnchor>
    <xdr:from>
      <xdr:col>0</xdr:col>
      <xdr:colOff>53340</xdr:colOff>
      <xdr:row>0</xdr:row>
      <xdr:rowOff>45720</xdr:rowOff>
    </xdr:from>
    <xdr:to>
      <xdr:col>3</xdr:col>
      <xdr:colOff>114300</xdr:colOff>
      <xdr:row>27</xdr:row>
      <xdr:rowOff>30480</xdr:rowOff>
    </xdr:to>
    <xdr:sp macro="" textlink="">
      <xdr:nvSpPr>
        <xdr:cNvPr id="2" name="Rectangle: Rounded Corners 1">
          <a:extLst>
            <a:ext uri="{FF2B5EF4-FFF2-40B4-BE49-F238E27FC236}">
              <a16:creationId xmlns:a16="http://schemas.microsoft.com/office/drawing/2014/main" id="{B5BFCF87-5149-ECC7-8CDB-9E67B37773AF}"/>
            </a:ext>
          </a:extLst>
        </xdr:cNvPr>
        <xdr:cNvSpPr/>
      </xdr:nvSpPr>
      <xdr:spPr>
        <a:xfrm>
          <a:off x="53340" y="45720"/>
          <a:ext cx="1981200" cy="4922520"/>
        </a:xfrm>
        <a:prstGeom prst="roundRect">
          <a:avLst>
            <a:gd name="adj" fmla="val 23193"/>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3</xdr:col>
      <xdr:colOff>260775</xdr:colOff>
      <xdr:row>0</xdr:row>
      <xdr:rowOff>30480</xdr:rowOff>
    </xdr:from>
    <xdr:to>
      <xdr:col>22</xdr:col>
      <xdr:colOff>556260</xdr:colOff>
      <xdr:row>2</xdr:row>
      <xdr:rowOff>160020</xdr:rowOff>
    </xdr:to>
    <xdr:sp macro="" textlink="">
      <xdr:nvSpPr>
        <xdr:cNvPr id="3" name="Rectangle: Rounded Corners 2">
          <a:extLst>
            <a:ext uri="{FF2B5EF4-FFF2-40B4-BE49-F238E27FC236}">
              <a16:creationId xmlns:a16="http://schemas.microsoft.com/office/drawing/2014/main" id="{97663C20-DA45-4D9D-87C7-35EBF33116A9}"/>
            </a:ext>
          </a:extLst>
        </xdr:cNvPr>
        <xdr:cNvSpPr/>
      </xdr:nvSpPr>
      <xdr:spPr>
        <a:xfrm>
          <a:off x="2181015" y="30480"/>
          <a:ext cx="11877885" cy="495300"/>
        </a:xfrm>
        <a:prstGeom prst="roundRect">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100"/>
        </a:p>
      </xdr:txBody>
    </xdr:sp>
    <xdr:clientData/>
  </xdr:twoCellAnchor>
  <xdr:twoCellAnchor>
    <xdr:from>
      <xdr:col>3</xdr:col>
      <xdr:colOff>243840</xdr:colOff>
      <xdr:row>3</xdr:row>
      <xdr:rowOff>60961</xdr:rowOff>
    </xdr:from>
    <xdr:to>
      <xdr:col>7</xdr:col>
      <xdr:colOff>0</xdr:colOff>
      <xdr:row>9</xdr:row>
      <xdr:rowOff>95675</xdr:rowOff>
    </xdr:to>
    <xdr:sp macro="" textlink="">
      <xdr:nvSpPr>
        <xdr:cNvPr id="4" name="Rectangle: Rounded Corners 3">
          <a:extLst>
            <a:ext uri="{FF2B5EF4-FFF2-40B4-BE49-F238E27FC236}">
              <a16:creationId xmlns:a16="http://schemas.microsoft.com/office/drawing/2014/main" id="{8CFA8C95-5F2C-8FA4-34B1-AF654EC7E973}"/>
            </a:ext>
          </a:extLst>
        </xdr:cNvPr>
        <xdr:cNvSpPr/>
      </xdr:nvSpPr>
      <xdr:spPr>
        <a:xfrm>
          <a:off x="2164080" y="609601"/>
          <a:ext cx="2194560" cy="1131994"/>
        </a:xfrm>
        <a:prstGeom prst="roundRect">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11</xdr:col>
      <xdr:colOff>145949</xdr:colOff>
      <xdr:row>3</xdr:row>
      <xdr:rowOff>60961</xdr:rowOff>
    </xdr:from>
    <xdr:to>
      <xdr:col>15</xdr:col>
      <xdr:colOff>22171</xdr:colOff>
      <xdr:row>9</xdr:row>
      <xdr:rowOff>125308</xdr:rowOff>
    </xdr:to>
    <xdr:sp macro="" textlink="">
      <xdr:nvSpPr>
        <xdr:cNvPr id="6" name="Rectangle: Rounded Corners 5">
          <a:extLst>
            <a:ext uri="{FF2B5EF4-FFF2-40B4-BE49-F238E27FC236}">
              <a16:creationId xmlns:a16="http://schemas.microsoft.com/office/drawing/2014/main" id="{5FE6E09B-53FE-4DC6-88E2-582E021B543A}"/>
            </a:ext>
          </a:extLst>
        </xdr:cNvPr>
        <xdr:cNvSpPr/>
      </xdr:nvSpPr>
      <xdr:spPr>
        <a:xfrm>
          <a:off x="6942989" y="609601"/>
          <a:ext cx="2314622" cy="1161627"/>
        </a:xfrm>
        <a:prstGeom prst="roundRect">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163288</xdr:colOff>
      <xdr:row>3</xdr:row>
      <xdr:rowOff>60961</xdr:rowOff>
    </xdr:from>
    <xdr:to>
      <xdr:col>18</xdr:col>
      <xdr:colOff>575161</xdr:colOff>
      <xdr:row>9</xdr:row>
      <xdr:rowOff>125308</xdr:rowOff>
    </xdr:to>
    <xdr:sp macro="" textlink="">
      <xdr:nvSpPr>
        <xdr:cNvPr id="7" name="Rectangle: Rounded Corners 6">
          <a:extLst>
            <a:ext uri="{FF2B5EF4-FFF2-40B4-BE49-F238E27FC236}">
              <a16:creationId xmlns:a16="http://schemas.microsoft.com/office/drawing/2014/main" id="{D271A74E-661A-4CE6-9181-BA1A78FD1D11}"/>
            </a:ext>
          </a:extLst>
        </xdr:cNvPr>
        <xdr:cNvSpPr/>
      </xdr:nvSpPr>
      <xdr:spPr>
        <a:xfrm>
          <a:off x="9398728" y="609601"/>
          <a:ext cx="2240673" cy="1161627"/>
        </a:xfrm>
        <a:prstGeom prst="roundRect">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19</xdr:col>
      <xdr:colOff>106680</xdr:colOff>
      <xdr:row>3</xdr:row>
      <xdr:rowOff>60961</xdr:rowOff>
    </xdr:from>
    <xdr:to>
      <xdr:col>22</xdr:col>
      <xdr:colOff>556260</xdr:colOff>
      <xdr:row>9</xdr:row>
      <xdr:rowOff>125308</xdr:rowOff>
    </xdr:to>
    <xdr:sp macro="" textlink="">
      <xdr:nvSpPr>
        <xdr:cNvPr id="8" name="Rectangle: Rounded Corners 7">
          <a:extLst>
            <a:ext uri="{FF2B5EF4-FFF2-40B4-BE49-F238E27FC236}">
              <a16:creationId xmlns:a16="http://schemas.microsoft.com/office/drawing/2014/main" id="{2559A6AC-FB87-4D13-9C67-0B408CF50F4C}"/>
            </a:ext>
          </a:extLst>
        </xdr:cNvPr>
        <xdr:cNvSpPr/>
      </xdr:nvSpPr>
      <xdr:spPr>
        <a:xfrm>
          <a:off x="11780520" y="609601"/>
          <a:ext cx="2278380" cy="1161627"/>
        </a:xfrm>
        <a:prstGeom prst="roundRect">
          <a:avLst/>
        </a:prstGeom>
        <a:solidFill>
          <a:srgbClr val="29406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rgbClr val="29406D"/>
            </a:solidFill>
            <a:latin typeface="+mn-lt"/>
            <a:ea typeface="+mn-ea"/>
            <a:cs typeface="+mn-cs"/>
          </a:endParaRPr>
        </a:p>
      </xdr:txBody>
    </xdr:sp>
    <xdr:clientData/>
  </xdr:twoCellAnchor>
  <xdr:twoCellAnchor>
    <xdr:from>
      <xdr:col>19</xdr:col>
      <xdr:colOff>65160</xdr:colOff>
      <xdr:row>10</xdr:row>
      <xdr:rowOff>137160</xdr:rowOff>
    </xdr:from>
    <xdr:to>
      <xdr:col>22</xdr:col>
      <xdr:colOff>563880</xdr:colOff>
      <xdr:row>27</xdr:row>
      <xdr:rowOff>30480</xdr:rowOff>
    </xdr:to>
    <xdr:sp macro="" textlink="">
      <xdr:nvSpPr>
        <xdr:cNvPr id="10" name="Rectangle: Rounded Corners 9">
          <a:extLst>
            <a:ext uri="{FF2B5EF4-FFF2-40B4-BE49-F238E27FC236}">
              <a16:creationId xmlns:a16="http://schemas.microsoft.com/office/drawing/2014/main" id="{920FE5AA-5F00-8DB4-B33D-08FAA0FA5354}"/>
            </a:ext>
          </a:extLst>
        </xdr:cNvPr>
        <xdr:cNvSpPr/>
      </xdr:nvSpPr>
      <xdr:spPr>
        <a:xfrm>
          <a:off x="11739000" y="1965960"/>
          <a:ext cx="2327520" cy="3002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9720</xdr:colOff>
      <xdr:row>10</xdr:row>
      <xdr:rowOff>147956</xdr:rowOff>
    </xdr:from>
    <xdr:to>
      <xdr:col>18</xdr:col>
      <xdr:colOff>596460</xdr:colOff>
      <xdr:row>18</xdr:row>
      <xdr:rowOff>7620</xdr:rowOff>
    </xdr:to>
    <xdr:sp macro="" textlink="">
      <xdr:nvSpPr>
        <xdr:cNvPr id="11" name="Rectangle: Rounded Corners 10">
          <a:extLst>
            <a:ext uri="{FF2B5EF4-FFF2-40B4-BE49-F238E27FC236}">
              <a16:creationId xmlns:a16="http://schemas.microsoft.com/office/drawing/2014/main" id="{E58A028D-BE2F-4446-A852-2C6FBF51C3C7}"/>
            </a:ext>
          </a:extLst>
        </xdr:cNvPr>
        <xdr:cNvSpPr/>
      </xdr:nvSpPr>
      <xdr:spPr>
        <a:xfrm>
          <a:off x="9245160" y="1976756"/>
          <a:ext cx="2415540" cy="13227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3</xdr:col>
      <xdr:colOff>243840</xdr:colOff>
      <xdr:row>10</xdr:row>
      <xdr:rowOff>147956</xdr:rowOff>
    </xdr:from>
    <xdr:to>
      <xdr:col>14</xdr:col>
      <xdr:colOff>541020</xdr:colOff>
      <xdr:row>18</xdr:row>
      <xdr:rowOff>43243</xdr:rowOff>
    </xdr:to>
    <xdr:sp macro="" textlink="">
      <xdr:nvSpPr>
        <xdr:cNvPr id="13" name="Rectangle: Rounded Corners 12">
          <a:extLst>
            <a:ext uri="{FF2B5EF4-FFF2-40B4-BE49-F238E27FC236}">
              <a16:creationId xmlns:a16="http://schemas.microsoft.com/office/drawing/2014/main" id="{D6774196-CD3E-42F8-BC78-22791AA31D4C}"/>
            </a:ext>
          </a:extLst>
        </xdr:cNvPr>
        <xdr:cNvSpPr/>
      </xdr:nvSpPr>
      <xdr:spPr>
        <a:xfrm>
          <a:off x="2164080" y="1976756"/>
          <a:ext cx="7002780" cy="13583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3</xdr:col>
      <xdr:colOff>243840</xdr:colOff>
      <xdr:row>19</xdr:row>
      <xdr:rowOff>45720</xdr:rowOff>
    </xdr:from>
    <xdr:to>
      <xdr:col>9</xdr:col>
      <xdr:colOff>12121</xdr:colOff>
      <xdr:row>27</xdr:row>
      <xdr:rowOff>30480</xdr:rowOff>
    </xdr:to>
    <xdr:sp macro="" textlink="">
      <xdr:nvSpPr>
        <xdr:cNvPr id="14" name="Rectangle: Rounded Corners 13">
          <a:extLst>
            <a:ext uri="{FF2B5EF4-FFF2-40B4-BE49-F238E27FC236}">
              <a16:creationId xmlns:a16="http://schemas.microsoft.com/office/drawing/2014/main" id="{C98A6C19-1FDF-458E-A629-CD40E12FAED1}"/>
            </a:ext>
          </a:extLst>
        </xdr:cNvPr>
        <xdr:cNvSpPr/>
      </xdr:nvSpPr>
      <xdr:spPr>
        <a:xfrm>
          <a:off x="2164080" y="3520440"/>
          <a:ext cx="3425881" cy="1447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11712</xdr:colOff>
      <xdr:row>19</xdr:row>
      <xdr:rowOff>70643</xdr:rowOff>
    </xdr:from>
    <xdr:to>
      <xdr:col>18</xdr:col>
      <xdr:colOff>597464</xdr:colOff>
      <xdr:row>27</xdr:row>
      <xdr:rowOff>30480</xdr:rowOff>
    </xdr:to>
    <xdr:sp macro="" textlink="">
      <xdr:nvSpPr>
        <xdr:cNvPr id="16" name="Rectangle: Rounded Corners 15">
          <a:extLst>
            <a:ext uri="{FF2B5EF4-FFF2-40B4-BE49-F238E27FC236}">
              <a16:creationId xmlns:a16="http://schemas.microsoft.com/office/drawing/2014/main" id="{2B8656ED-16E6-4494-875C-A699F293D316}"/>
            </a:ext>
          </a:extLst>
        </xdr:cNvPr>
        <xdr:cNvSpPr/>
      </xdr:nvSpPr>
      <xdr:spPr>
        <a:xfrm>
          <a:off x="9247152" y="3545363"/>
          <a:ext cx="2414552" cy="14228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9</xdr:col>
      <xdr:colOff>136124</xdr:colOff>
      <xdr:row>19</xdr:row>
      <xdr:rowOff>76200</xdr:rowOff>
    </xdr:from>
    <xdr:to>
      <xdr:col>14</xdr:col>
      <xdr:colOff>542041</xdr:colOff>
      <xdr:row>27</xdr:row>
      <xdr:rowOff>30480</xdr:rowOff>
    </xdr:to>
    <xdr:sp macro="" textlink="">
      <xdr:nvSpPr>
        <xdr:cNvPr id="17" name="Rectangle: Rounded Corners 16">
          <a:extLst>
            <a:ext uri="{FF2B5EF4-FFF2-40B4-BE49-F238E27FC236}">
              <a16:creationId xmlns:a16="http://schemas.microsoft.com/office/drawing/2014/main" id="{E45C62F3-3559-4C26-A965-081277CCD5FD}"/>
            </a:ext>
          </a:extLst>
        </xdr:cNvPr>
        <xdr:cNvSpPr/>
      </xdr:nvSpPr>
      <xdr:spPr>
        <a:xfrm>
          <a:off x="5713964" y="3550920"/>
          <a:ext cx="3453917" cy="1417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4</xdr:col>
      <xdr:colOff>441960</xdr:colOff>
      <xdr:row>0</xdr:row>
      <xdr:rowOff>30480</xdr:rowOff>
    </xdr:from>
    <xdr:to>
      <xdr:col>13</xdr:col>
      <xdr:colOff>594360</xdr:colOff>
      <xdr:row>2</xdr:row>
      <xdr:rowOff>129540</xdr:rowOff>
    </xdr:to>
    <xdr:sp macro="" textlink="">
      <xdr:nvSpPr>
        <xdr:cNvPr id="18" name="TextBox 17">
          <a:extLst>
            <a:ext uri="{FF2B5EF4-FFF2-40B4-BE49-F238E27FC236}">
              <a16:creationId xmlns:a16="http://schemas.microsoft.com/office/drawing/2014/main" id="{BA427142-6243-7055-F0D4-41A840491DF8}"/>
            </a:ext>
          </a:extLst>
        </xdr:cNvPr>
        <xdr:cNvSpPr txBox="1"/>
      </xdr:nvSpPr>
      <xdr:spPr>
        <a:xfrm>
          <a:off x="2971800" y="30480"/>
          <a:ext cx="5638800" cy="46482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b="1">
              <a:solidFill>
                <a:schemeClr val="bg1"/>
              </a:solidFill>
              <a:latin typeface="MS Reference Sans Serif" panose="020B0604030504040204" pitchFamily="34" charset="0"/>
            </a:rPr>
            <a:t>Misuo Sales Dashboard</a:t>
          </a:r>
        </a:p>
      </xdr:txBody>
    </xdr:sp>
    <xdr:clientData/>
  </xdr:twoCellAnchor>
  <xdr:twoCellAnchor>
    <xdr:from>
      <xdr:col>0</xdr:col>
      <xdr:colOff>182880</xdr:colOff>
      <xdr:row>0</xdr:row>
      <xdr:rowOff>83820</xdr:rowOff>
    </xdr:from>
    <xdr:to>
      <xdr:col>2</xdr:col>
      <xdr:colOff>601980</xdr:colOff>
      <xdr:row>9</xdr:row>
      <xdr:rowOff>114300</xdr:rowOff>
    </xdr:to>
    <xdr:grpSp>
      <xdr:nvGrpSpPr>
        <xdr:cNvPr id="22" name="Group 21">
          <a:hlinkClick xmlns:r="http://schemas.openxmlformats.org/officeDocument/2006/relationships" r:id="rId1"/>
          <a:extLst>
            <a:ext uri="{FF2B5EF4-FFF2-40B4-BE49-F238E27FC236}">
              <a16:creationId xmlns:a16="http://schemas.microsoft.com/office/drawing/2014/main" id="{3A565C84-F12E-93C0-1D73-767468B38997}"/>
            </a:ext>
          </a:extLst>
        </xdr:cNvPr>
        <xdr:cNvGrpSpPr/>
      </xdr:nvGrpSpPr>
      <xdr:grpSpPr>
        <a:xfrm>
          <a:off x="182880" y="83820"/>
          <a:ext cx="1733759" cy="1688458"/>
          <a:chOff x="198120" y="129540"/>
          <a:chExt cx="1638300" cy="1615440"/>
        </a:xfrm>
      </xdr:grpSpPr>
      <xdr:sp macro="" textlink="">
        <xdr:nvSpPr>
          <xdr:cNvPr id="21" name="Oval 20">
            <a:extLst>
              <a:ext uri="{FF2B5EF4-FFF2-40B4-BE49-F238E27FC236}">
                <a16:creationId xmlns:a16="http://schemas.microsoft.com/office/drawing/2014/main" id="{A79D19DD-6B39-02D6-B62D-1F45ACF6ACED}"/>
              </a:ext>
            </a:extLst>
          </xdr:cNvPr>
          <xdr:cNvSpPr/>
        </xdr:nvSpPr>
        <xdr:spPr>
          <a:xfrm>
            <a:off x="198120" y="129540"/>
            <a:ext cx="1638300" cy="1615440"/>
          </a:xfrm>
          <a:prstGeom prst="ellipse">
            <a:avLst/>
          </a:prstGeom>
          <a:solidFill>
            <a:srgbClr val="1B2A4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20" name="Picture 19">
            <a:extLst>
              <a:ext uri="{FF2B5EF4-FFF2-40B4-BE49-F238E27FC236}">
                <a16:creationId xmlns:a16="http://schemas.microsoft.com/office/drawing/2014/main" id="{7E4C32AF-F732-3AC6-32A2-8BC44A2FB72C}"/>
              </a:ext>
            </a:extLst>
          </xdr:cNvPr>
          <xdr:cNvPicPr>
            <a:picLocks noChangeAspect="1"/>
          </xdr:cNvPicPr>
        </xdr:nvPicPr>
        <xdr:blipFill>
          <a:blip xmlns:r="http://schemas.openxmlformats.org/officeDocument/2006/relationships" r:embed="rId2"/>
          <a:stretch>
            <a:fillRect/>
          </a:stretch>
        </xdr:blipFill>
        <xdr:spPr>
          <a:xfrm>
            <a:off x="449580" y="472440"/>
            <a:ext cx="1127760" cy="868680"/>
          </a:xfrm>
          <a:prstGeom prst="rect">
            <a:avLst/>
          </a:prstGeom>
          <a:solidFill>
            <a:srgbClr val="1B2A49"/>
          </a:solidFill>
          <a:ln>
            <a:noFill/>
          </a:ln>
        </xdr:spPr>
      </xdr:pic>
    </xdr:grpSp>
    <xdr:clientData/>
  </xdr:twoCellAnchor>
  <xdr:twoCellAnchor>
    <xdr:from>
      <xdr:col>3</xdr:col>
      <xdr:colOff>373380</xdr:colOff>
      <xdr:row>3</xdr:row>
      <xdr:rowOff>137160</xdr:rowOff>
    </xdr:from>
    <xdr:to>
      <xdr:col>6</xdr:col>
      <xdr:colOff>434340</xdr:colOff>
      <xdr:row>5</xdr:row>
      <xdr:rowOff>167640</xdr:rowOff>
    </xdr:to>
    <xdr:sp macro="" textlink="">
      <xdr:nvSpPr>
        <xdr:cNvPr id="23" name="TextBox 22">
          <a:extLst>
            <a:ext uri="{FF2B5EF4-FFF2-40B4-BE49-F238E27FC236}">
              <a16:creationId xmlns:a16="http://schemas.microsoft.com/office/drawing/2014/main" id="{46FDCB30-3D16-977D-2227-0D088D160934}"/>
            </a:ext>
          </a:extLst>
        </xdr:cNvPr>
        <xdr:cNvSpPr txBox="1"/>
      </xdr:nvSpPr>
      <xdr:spPr>
        <a:xfrm>
          <a:off x="2293620" y="685800"/>
          <a:ext cx="1889760" cy="39624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bg1"/>
              </a:solidFill>
              <a:latin typeface="MS Reference Sans Serif" panose="020B0604030504040204" pitchFamily="34" charset="0"/>
            </a:rPr>
            <a:t>Total Sales</a:t>
          </a:r>
        </a:p>
      </xdr:txBody>
    </xdr:sp>
    <xdr:clientData/>
  </xdr:twoCellAnchor>
  <xdr:twoCellAnchor>
    <xdr:from>
      <xdr:col>4</xdr:col>
      <xdr:colOff>34713</xdr:colOff>
      <xdr:row>5</xdr:row>
      <xdr:rowOff>135466</xdr:rowOff>
    </xdr:from>
    <xdr:to>
      <xdr:col>6</xdr:col>
      <xdr:colOff>209973</xdr:colOff>
      <xdr:row>8</xdr:row>
      <xdr:rowOff>108373</xdr:rowOff>
    </xdr:to>
    <xdr:sp macro="" textlink="'Pivot Table'!C6">
      <xdr:nvSpPr>
        <xdr:cNvPr id="29" name="TextBox 28">
          <a:extLst>
            <a:ext uri="{FF2B5EF4-FFF2-40B4-BE49-F238E27FC236}">
              <a16:creationId xmlns:a16="http://schemas.microsoft.com/office/drawing/2014/main" id="{D3545DD4-F701-FA56-6DC5-494EFDB18B1C}"/>
            </a:ext>
          </a:extLst>
        </xdr:cNvPr>
        <xdr:cNvSpPr txBox="1"/>
      </xdr:nvSpPr>
      <xdr:spPr>
        <a:xfrm>
          <a:off x="2564553" y="1049866"/>
          <a:ext cx="1394460" cy="521547"/>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4670BD-C9B6-4568-9C20-192EB511CE29}" type="TxLink">
            <a:rPr lang="en-US" sz="2000" b="0" i="0" u="none" strike="noStrike">
              <a:ln>
                <a:noFill/>
              </a:ln>
              <a:solidFill>
                <a:schemeClr val="bg1"/>
              </a:solidFill>
              <a:latin typeface="Calibri"/>
              <a:ea typeface="Calibri"/>
              <a:cs typeface="Calibri"/>
            </a:rPr>
            <a:pPr algn="ctr"/>
            <a:t> 1,155,307 </a:t>
          </a:fld>
          <a:endParaRPr lang="en-GB" sz="2000">
            <a:ln>
              <a:noFill/>
            </a:ln>
            <a:solidFill>
              <a:schemeClr val="bg1"/>
            </a:solidFill>
          </a:endParaRPr>
        </a:p>
      </xdr:txBody>
    </xdr:sp>
    <xdr:clientData/>
  </xdr:twoCellAnchor>
  <xdr:twoCellAnchor>
    <xdr:from>
      <xdr:col>7</xdr:col>
      <xdr:colOff>152400</xdr:colOff>
      <xdr:row>3</xdr:row>
      <xdr:rowOff>175260</xdr:rowOff>
    </xdr:from>
    <xdr:to>
      <xdr:col>10</xdr:col>
      <xdr:colOff>586740</xdr:colOff>
      <xdr:row>6</xdr:row>
      <xdr:rowOff>60960</xdr:rowOff>
    </xdr:to>
    <xdr:sp macro="" textlink="">
      <xdr:nvSpPr>
        <xdr:cNvPr id="30" name="TextBox 29">
          <a:extLst>
            <a:ext uri="{FF2B5EF4-FFF2-40B4-BE49-F238E27FC236}">
              <a16:creationId xmlns:a16="http://schemas.microsoft.com/office/drawing/2014/main" id="{E399A410-A0EA-09BA-BDAC-FDDB9FD3EC06}"/>
            </a:ext>
          </a:extLst>
        </xdr:cNvPr>
        <xdr:cNvSpPr txBox="1"/>
      </xdr:nvSpPr>
      <xdr:spPr>
        <a:xfrm>
          <a:off x="4511040" y="723900"/>
          <a:ext cx="2263140" cy="43434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bg1"/>
              </a:solidFill>
              <a:latin typeface="+mn-lt"/>
            </a:rPr>
            <a:t>Total</a:t>
          </a:r>
          <a:r>
            <a:rPr lang="en-GB" sz="1800" b="1" baseline="0">
              <a:solidFill>
                <a:schemeClr val="bg1"/>
              </a:solidFill>
              <a:latin typeface="+mn-lt"/>
            </a:rPr>
            <a:t> Orders</a:t>
          </a:r>
          <a:endParaRPr lang="en-GB" sz="1800" b="1">
            <a:solidFill>
              <a:schemeClr val="bg1"/>
            </a:solidFill>
            <a:latin typeface="+mn-lt"/>
          </a:endParaRPr>
        </a:p>
      </xdr:txBody>
    </xdr:sp>
    <xdr:clientData/>
  </xdr:twoCellAnchor>
  <xdr:twoCellAnchor>
    <xdr:from>
      <xdr:col>8</xdr:col>
      <xdr:colOff>0</xdr:colOff>
      <xdr:row>6</xdr:row>
      <xdr:rowOff>22860</xdr:rowOff>
    </xdr:from>
    <xdr:to>
      <xdr:col>10</xdr:col>
      <xdr:colOff>190500</xdr:colOff>
      <xdr:row>8</xdr:row>
      <xdr:rowOff>99060</xdr:rowOff>
    </xdr:to>
    <xdr:sp macro="" textlink="'Pivot Table'!H6">
      <xdr:nvSpPr>
        <xdr:cNvPr id="31" name="TextBox 30">
          <a:extLst>
            <a:ext uri="{FF2B5EF4-FFF2-40B4-BE49-F238E27FC236}">
              <a16:creationId xmlns:a16="http://schemas.microsoft.com/office/drawing/2014/main" id="{85DC3AFA-45BE-7379-F9FC-BC7EA0933FBD}"/>
            </a:ext>
          </a:extLst>
        </xdr:cNvPr>
        <xdr:cNvSpPr txBox="1"/>
      </xdr:nvSpPr>
      <xdr:spPr>
        <a:xfrm>
          <a:off x="4968240" y="1120140"/>
          <a:ext cx="1409700" cy="44196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B24337-B8AA-4728-AD3A-4CF58A796F75}" type="TxLink">
            <a:rPr lang="en-US" sz="1800" b="0" i="0" u="none" strike="noStrike">
              <a:ln>
                <a:noFill/>
              </a:ln>
              <a:solidFill>
                <a:schemeClr val="bg1"/>
              </a:solidFill>
              <a:latin typeface="Calibri"/>
              <a:ea typeface="Calibri"/>
              <a:cs typeface="Calibri"/>
            </a:rPr>
            <a:pPr algn="ctr"/>
            <a:t>111</a:t>
          </a:fld>
          <a:endParaRPr lang="en-US" sz="1800">
            <a:ln>
              <a:noFill/>
            </a:ln>
            <a:solidFill>
              <a:schemeClr val="bg1"/>
            </a:solidFill>
          </a:endParaRPr>
        </a:p>
      </xdr:txBody>
    </xdr:sp>
    <xdr:clientData/>
  </xdr:twoCellAnchor>
  <xdr:twoCellAnchor>
    <xdr:from>
      <xdr:col>11</xdr:col>
      <xdr:colOff>160020</xdr:colOff>
      <xdr:row>4</xdr:row>
      <xdr:rowOff>15240</xdr:rowOff>
    </xdr:from>
    <xdr:to>
      <xdr:col>15</xdr:col>
      <xdr:colOff>7620</xdr:colOff>
      <xdr:row>6</xdr:row>
      <xdr:rowOff>51647</xdr:rowOff>
    </xdr:to>
    <xdr:sp macro="" textlink="">
      <xdr:nvSpPr>
        <xdr:cNvPr id="32" name="TextBox 31">
          <a:extLst>
            <a:ext uri="{FF2B5EF4-FFF2-40B4-BE49-F238E27FC236}">
              <a16:creationId xmlns:a16="http://schemas.microsoft.com/office/drawing/2014/main" id="{A26C0E63-C403-4353-BEB9-3C9EC8A07DAB}"/>
            </a:ext>
          </a:extLst>
        </xdr:cNvPr>
        <xdr:cNvSpPr txBox="1"/>
      </xdr:nvSpPr>
      <xdr:spPr>
        <a:xfrm>
          <a:off x="6957060" y="746760"/>
          <a:ext cx="2286000" cy="402167"/>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bg1"/>
              </a:solidFill>
              <a:latin typeface="+mn-lt"/>
            </a:rPr>
            <a:t>Average Selling Price</a:t>
          </a:r>
        </a:p>
      </xdr:txBody>
    </xdr:sp>
    <xdr:clientData/>
  </xdr:twoCellAnchor>
  <xdr:twoCellAnchor>
    <xdr:from>
      <xdr:col>11</xdr:col>
      <xdr:colOff>325120</xdr:colOff>
      <xdr:row>6</xdr:row>
      <xdr:rowOff>45720</xdr:rowOff>
    </xdr:from>
    <xdr:to>
      <xdr:col>14</xdr:col>
      <xdr:colOff>495300</xdr:colOff>
      <xdr:row>8</xdr:row>
      <xdr:rowOff>99060</xdr:rowOff>
    </xdr:to>
    <xdr:sp macro="" textlink="'Pivot Table'!N6">
      <xdr:nvSpPr>
        <xdr:cNvPr id="33" name="TextBox 32">
          <a:extLst>
            <a:ext uri="{FF2B5EF4-FFF2-40B4-BE49-F238E27FC236}">
              <a16:creationId xmlns:a16="http://schemas.microsoft.com/office/drawing/2014/main" id="{4D3A9213-18E3-59B9-7A63-FA42DF3275CC}"/>
            </a:ext>
          </a:extLst>
        </xdr:cNvPr>
        <xdr:cNvSpPr txBox="1"/>
      </xdr:nvSpPr>
      <xdr:spPr>
        <a:xfrm>
          <a:off x="7122160" y="1143000"/>
          <a:ext cx="1998980" cy="41910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70FEE2-DB98-4D2C-8438-A214C3E4DABC}" type="TxLink">
            <a:rPr lang="en-US" sz="1800" b="0" i="0" u="none" strike="noStrike">
              <a:solidFill>
                <a:schemeClr val="bg1"/>
              </a:solidFill>
              <a:latin typeface="Calibri"/>
              <a:ea typeface="Calibri"/>
              <a:cs typeface="Calibri"/>
            </a:rPr>
            <a:pPr algn="ctr"/>
            <a:t> 10,408 </a:t>
          </a:fld>
          <a:endParaRPr lang="en-US" sz="1800">
            <a:solidFill>
              <a:schemeClr val="bg1"/>
            </a:solidFill>
          </a:endParaRPr>
        </a:p>
      </xdr:txBody>
    </xdr:sp>
    <xdr:clientData/>
  </xdr:twoCellAnchor>
  <xdr:twoCellAnchor>
    <xdr:from>
      <xdr:col>15</xdr:col>
      <xdr:colOff>205740</xdr:colOff>
      <xdr:row>3</xdr:row>
      <xdr:rowOff>167640</xdr:rowOff>
    </xdr:from>
    <xdr:to>
      <xdr:col>18</xdr:col>
      <xdr:colOff>533400</xdr:colOff>
      <xdr:row>5</xdr:row>
      <xdr:rowOff>167640</xdr:rowOff>
    </xdr:to>
    <xdr:sp macro="" textlink="">
      <xdr:nvSpPr>
        <xdr:cNvPr id="34" name="TextBox 33">
          <a:extLst>
            <a:ext uri="{FF2B5EF4-FFF2-40B4-BE49-F238E27FC236}">
              <a16:creationId xmlns:a16="http://schemas.microsoft.com/office/drawing/2014/main" id="{1715EE1C-A6D6-37DE-326F-B6706B01B331}"/>
            </a:ext>
          </a:extLst>
        </xdr:cNvPr>
        <xdr:cNvSpPr txBox="1"/>
      </xdr:nvSpPr>
      <xdr:spPr>
        <a:xfrm>
          <a:off x="9441180" y="716280"/>
          <a:ext cx="2156460" cy="36576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bg1"/>
              </a:solidFill>
            </a:rPr>
            <a:t>Total Customers</a:t>
          </a:r>
        </a:p>
      </xdr:txBody>
    </xdr:sp>
    <xdr:clientData/>
  </xdr:twoCellAnchor>
  <xdr:twoCellAnchor>
    <xdr:from>
      <xdr:col>15</xdr:col>
      <xdr:colOff>480060</xdr:colOff>
      <xdr:row>6</xdr:row>
      <xdr:rowOff>60960</xdr:rowOff>
    </xdr:from>
    <xdr:to>
      <xdr:col>18</xdr:col>
      <xdr:colOff>320040</xdr:colOff>
      <xdr:row>9</xdr:row>
      <xdr:rowOff>15240</xdr:rowOff>
    </xdr:to>
    <xdr:sp macro="" textlink="'Pivot Table'!BG6">
      <xdr:nvSpPr>
        <xdr:cNvPr id="35" name="TextBox 34">
          <a:extLst>
            <a:ext uri="{FF2B5EF4-FFF2-40B4-BE49-F238E27FC236}">
              <a16:creationId xmlns:a16="http://schemas.microsoft.com/office/drawing/2014/main" id="{2F969E86-FBAB-9ED6-FE98-AB70609C42D3}"/>
            </a:ext>
          </a:extLst>
        </xdr:cNvPr>
        <xdr:cNvSpPr txBox="1"/>
      </xdr:nvSpPr>
      <xdr:spPr>
        <a:xfrm>
          <a:off x="9715500" y="1158240"/>
          <a:ext cx="1668780" cy="50292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FB10CB-FAB2-4F09-BA12-FFE25C548F3E}" type="TxLink">
            <a:rPr lang="en-US" sz="1800" b="0" i="0" u="none" strike="noStrike">
              <a:ln>
                <a:noFill/>
              </a:ln>
              <a:solidFill>
                <a:schemeClr val="bg1"/>
              </a:solidFill>
              <a:latin typeface="Calibri"/>
              <a:ea typeface="Calibri"/>
              <a:cs typeface="Calibri"/>
            </a:rPr>
            <a:pPr algn="ctr"/>
            <a:t>76</a:t>
          </a:fld>
          <a:endParaRPr lang="en-GB" sz="1800">
            <a:ln>
              <a:noFill/>
            </a:ln>
            <a:solidFill>
              <a:schemeClr val="bg1"/>
            </a:solidFill>
          </a:endParaRPr>
        </a:p>
      </xdr:txBody>
    </xdr:sp>
    <xdr:clientData/>
  </xdr:twoCellAnchor>
  <xdr:twoCellAnchor>
    <xdr:from>
      <xdr:col>19</xdr:col>
      <xdr:colOff>236220</xdr:colOff>
      <xdr:row>3</xdr:row>
      <xdr:rowOff>167640</xdr:rowOff>
    </xdr:from>
    <xdr:to>
      <xdr:col>22</xdr:col>
      <xdr:colOff>441960</xdr:colOff>
      <xdr:row>6</xdr:row>
      <xdr:rowOff>7620</xdr:rowOff>
    </xdr:to>
    <xdr:sp macro="" textlink="">
      <xdr:nvSpPr>
        <xdr:cNvPr id="36" name="TextBox 35">
          <a:extLst>
            <a:ext uri="{FF2B5EF4-FFF2-40B4-BE49-F238E27FC236}">
              <a16:creationId xmlns:a16="http://schemas.microsoft.com/office/drawing/2014/main" id="{F7700376-8F3F-C6E2-F230-B45EDD88A025}"/>
            </a:ext>
          </a:extLst>
        </xdr:cNvPr>
        <xdr:cNvSpPr txBox="1"/>
      </xdr:nvSpPr>
      <xdr:spPr>
        <a:xfrm>
          <a:off x="11910060" y="716280"/>
          <a:ext cx="2034540" cy="38862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chemeClr val="bg1"/>
              </a:solidFill>
            </a:rPr>
            <a:t>Total Companies</a:t>
          </a:r>
        </a:p>
      </xdr:txBody>
    </xdr:sp>
    <xdr:clientData/>
  </xdr:twoCellAnchor>
  <xdr:twoCellAnchor>
    <xdr:from>
      <xdr:col>19</xdr:col>
      <xdr:colOff>506306</xdr:colOff>
      <xdr:row>5</xdr:row>
      <xdr:rowOff>175260</xdr:rowOff>
    </xdr:from>
    <xdr:to>
      <xdr:col>22</xdr:col>
      <xdr:colOff>243839</xdr:colOff>
      <xdr:row>8</xdr:row>
      <xdr:rowOff>160020</xdr:rowOff>
    </xdr:to>
    <xdr:sp macro="" textlink="'Pivot Table'!BJ6">
      <xdr:nvSpPr>
        <xdr:cNvPr id="37" name="TextBox 36">
          <a:extLst>
            <a:ext uri="{FF2B5EF4-FFF2-40B4-BE49-F238E27FC236}">
              <a16:creationId xmlns:a16="http://schemas.microsoft.com/office/drawing/2014/main" id="{E1EC65ED-3731-4514-00F1-DEFFF7F016B9}"/>
            </a:ext>
          </a:extLst>
        </xdr:cNvPr>
        <xdr:cNvSpPr txBox="1"/>
      </xdr:nvSpPr>
      <xdr:spPr>
        <a:xfrm>
          <a:off x="12180146" y="1089660"/>
          <a:ext cx="1566333" cy="533400"/>
        </a:xfrm>
        <a:prstGeom prst="rect">
          <a:avLst/>
        </a:prstGeom>
        <a:solidFill>
          <a:srgbClr val="29406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E2DDD7-0D43-4E49-B5CA-3BEB5236ECE9}" type="TxLink">
            <a:rPr lang="en-US" sz="1800" b="0" i="0" u="none" strike="noStrike">
              <a:ln>
                <a:noFill/>
              </a:ln>
              <a:solidFill>
                <a:schemeClr val="bg1"/>
              </a:solidFill>
              <a:latin typeface="Calibri"/>
              <a:ea typeface="Calibri"/>
              <a:cs typeface="Calibri"/>
            </a:rPr>
            <a:pPr algn="ctr"/>
            <a:t>4</a:t>
          </a:fld>
          <a:endParaRPr lang="en-GB" sz="1800">
            <a:ln>
              <a:noFill/>
            </a:ln>
            <a:solidFill>
              <a:schemeClr val="bg1"/>
            </a:solidFill>
          </a:endParaRPr>
        </a:p>
      </xdr:txBody>
    </xdr:sp>
    <xdr:clientData/>
  </xdr:twoCellAnchor>
  <xdr:twoCellAnchor>
    <xdr:from>
      <xdr:col>3</xdr:col>
      <xdr:colOff>335280</xdr:colOff>
      <xdr:row>11</xdr:row>
      <xdr:rowOff>0</xdr:rowOff>
    </xdr:from>
    <xdr:to>
      <xdr:col>14</xdr:col>
      <xdr:colOff>434340</xdr:colOff>
      <xdr:row>17</xdr:row>
      <xdr:rowOff>160020</xdr:rowOff>
    </xdr:to>
    <xdr:graphicFrame macro="">
      <xdr:nvGraphicFramePr>
        <xdr:cNvPr id="5" name="Chart 4">
          <a:extLst>
            <a:ext uri="{FF2B5EF4-FFF2-40B4-BE49-F238E27FC236}">
              <a16:creationId xmlns:a16="http://schemas.microsoft.com/office/drawing/2014/main" id="{C425485C-86FB-4DEA-B5F1-97A892818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281940</xdr:colOff>
      <xdr:row>19</xdr:row>
      <xdr:rowOff>152400</xdr:rowOff>
    </xdr:from>
    <xdr:to>
      <xdr:col>8</xdr:col>
      <xdr:colOff>579120</xdr:colOff>
      <xdr:row>24</xdr:row>
      <xdr:rowOff>144781</xdr:rowOff>
    </xdr:to>
    <xdr:graphicFrame macro="">
      <xdr:nvGraphicFramePr>
        <xdr:cNvPr id="15" name="Chart 14">
          <a:extLst>
            <a:ext uri="{FF2B5EF4-FFF2-40B4-BE49-F238E27FC236}">
              <a16:creationId xmlns:a16="http://schemas.microsoft.com/office/drawing/2014/main" id="{92FF3A75-2CF0-406C-9B42-E86BD2CA5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190500</xdr:colOff>
      <xdr:row>20</xdr:row>
      <xdr:rowOff>7620</xdr:rowOff>
    </xdr:from>
    <xdr:to>
      <xdr:col>14</xdr:col>
      <xdr:colOff>510540</xdr:colOff>
      <xdr:row>25</xdr:row>
      <xdr:rowOff>68580</xdr:rowOff>
    </xdr:to>
    <xdr:graphicFrame macro="">
      <xdr:nvGraphicFramePr>
        <xdr:cNvPr id="19" name="Chart 18">
          <a:extLst>
            <a:ext uri="{FF2B5EF4-FFF2-40B4-BE49-F238E27FC236}">
              <a16:creationId xmlns:a16="http://schemas.microsoft.com/office/drawing/2014/main" id="{DBEC6A43-CB67-4745-92A5-76608A175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190500</xdr:colOff>
      <xdr:row>12</xdr:row>
      <xdr:rowOff>0</xdr:rowOff>
    </xdr:from>
    <xdr:to>
      <xdr:col>22</xdr:col>
      <xdr:colOff>457200</xdr:colOff>
      <xdr:row>26</xdr:row>
      <xdr:rowOff>22860</xdr:rowOff>
    </xdr:to>
    <xdr:graphicFrame macro="">
      <xdr:nvGraphicFramePr>
        <xdr:cNvPr id="24" name="Chart 23">
          <a:extLst>
            <a:ext uri="{FF2B5EF4-FFF2-40B4-BE49-F238E27FC236}">
              <a16:creationId xmlns:a16="http://schemas.microsoft.com/office/drawing/2014/main" id="{E77871BA-10A1-43D2-8C46-F906C07FF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129540</xdr:colOff>
      <xdr:row>11</xdr:row>
      <xdr:rowOff>22860</xdr:rowOff>
    </xdr:from>
    <xdr:to>
      <xdr:col>18</xdr:col>
      <xdr:colOff>487680</xdr:colOff>
      <xdr:row>17</xdr:row>
      <xdr:rowOff>129540</xdr:rowOff>
    </xdr:to>
    <xdr:graphicFrame macro="">
      <xdr:nvGraphicFramePr>
        <xdr:cNvPr id="25" name="Chart 24">
          <a:extLst>
            <a:ext uri="{FF2B5EF4-FFF2-40B4-BE49-F238E27FC236}">
              <a16:creationId xmlns:a16="http://schemas.microsoft.com/office/drawing/2014/main" id="{1DB10316-BDBA-4AEE-B388-F2211DBBC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99060</xdr:colOff>
      <xdr:row>19</xdr:row>
      <xdr:rowOff>114300</xdr:rowOff>
    </xdr:from>
    <xdr:to>
      <xdr:col>18</xdr:col>
      <xdr:colOff>502260</xdr:colOff>
      <xdr:row>26</xdr:row>
      <xdr:rowOff>121920</xdr:rowOff>
    </xdr:to>
    <xdr:graphicFrame macro="">
      <xdr:nvGraphicFramePr>
        <xdr:cNvPr id="26" name="Chart 25">
          <a:extLst>
            <a:ext uri="{FF2B5EF4-FFF2-40B4-BE49-F238E27FC236}">
              <a16:creationId xmlns:a16="http://schemas.microsoft.com/office/drawing/2014/main" id="{C5A290D6-A55A-4830-AAAC-76BA68CCB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320040</xdr:colOff>
      <xdr:row>0</xdr:row>
      <xdr:rowOff>38099</xdr:rowOff>
    </xdr:from>
    <xdr:to>
      <xdr:col>22</xdr:col>
      <xdr:colOff>480840</xdr:colOff>
      <xdr:row>2</xdr:row>
      <xdr:rowOff>160020</xdr:rowOff>
    </xdr:to>
    <mc:AlternateContent xmlns:mc="http://schemas.openxmlformats.org/markup-compatibility/2006">
      <mc:Choice xmlns:a14="http://schemas.microsoft.com/office/drawing/2010/main" Requires="a14">
        <xdr:graphicFrame macro="">
          <xdr:nvGraphicFramePr>
            <xdr:cNvPr id="9" name="Months (Order Date)">
              <a:extLst>
                <a:ext uri="{FF2B5EF4-FFF2-40B4-BE49-F238E27FC236}">
                  <a16:creationId xmlns:a16="http://schemas.microsoft.com/office/drawing/2014/main" id="{67C913DA-5CDB-448D-A66A-A147B7C3F6AD}"/>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9581271" y="38099"/>
              <a:ext cx="4439723" cy="490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9</xdr:row>
      <xdr:rowOff>182879</xdr:rowOff>
    </xdr:from>
    <xdr:to>
      <xdr:col>3</xdr:col>
      <xdr:colOff>69916</xdr:colOff>
      <xdr:row>15</xdr:row>
      <xdr:rowOff>91440</xdr:rowOff>
    </xdr:to>
    <mc:AlternateContent xmlns:mc="http://schemas.openxmlformats.org/markup-compatibility/2006" xmlns:a14="http://schemas.microsoft.com/office/drawing/2010/main">
      <mc:Choice Requires="a14">
        <xdr:graphicFrame macro="">
          <xdr:nvGraphicFramePr>
            <xdr:cNvPr id="12" name="Sales Platform">
              <a:extLst>
                <a:ext uri="{FF2B5EF4-FFF2-40B4-BE49-F238E27FC236}">
                  <a16:creationId xmlns:a16="http://schemas.microsoft.com/office/drawing/2014/main" id="{09FC2BB3-C50B-43DE-BF75-CCDCFBFD226C}"/>
                </a:ext>
              </a:extLst>
            </xdr:cNvPr>
            <xdr:cNvGraphicFramePr/>
          </xdr:nvGraphicFramePr>
          <xdr:xfrm>
            <a:off x="0" y="0"/>
            <a:ext cx="0" cy="0"/>
          </xdr:xfrm>
          <a:graphic>
            <a:graphicData uri="http://schemas.microsoft.com/office/drawing/2010/slicer">
              <sle:slicer xmlns:sle="http://schemas.microsoft.com/office/drawing/2010/slicer" name="Sales Platform"/>
            </a:graphicData>
          </a:graphic>
        </xdr:graphicFrame>
      </mc:Choice>
      <mc:Fallback xmlns="">
        <xdr:sp macro="" textlink="">
          <xdr:nvSpPr>
            <xdr:cNvPr id="0" name=""/>
            <xdr:cNvSpPr>
              <a:spLocks noTextEdit="1"/>
            </xdr:cNvSpPr>
          </xdr:nvSpPr>
          <xdr:spPr>
            <a:xfrm>
              <a:off x="68580" y="1828799"/>
              <a:ext cx="1921576" cy="10058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15</xdr:row>
      <xdr:rowOff>76198</xdr:rowOff>
    </xdr:from>
    <xdr:to>
      <xdr:col>3</xdr:col>
      <xdr:colOff>69916</xdr:colOff>
      <xdr:row>20</xdr:row>
      <xdr:rowOff>60960</xdr:rowOff>
    </xdr:to>
    <mc:AlternateContent xmlns:mc="http://schemas.openxmlformats.org/markup-compatibility/2006" xmlns:a14="http://schemas.microsoft.com/office/drawing/2010/main">
      <mc:Choice Requires="a14">
        <xdr:graphicFrame macro="">
          <xdr:nvGraphicFramePr>
            <xdr:cNvPr id="27" name="City">
              <a:extLst>
                <a:ext uri="{FF2B5EF4-FFF2-40B4-BE49-F238E27FC236}">
                  <a16:creationId xmlns:a16="http://schemas.microsoft.com/office/drawing/2014/main" id="{EB442039-73FA-473B-8F6D-08C77615DDD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8580" y="2819398"/>
              <a:ext cx="1921576" cy="8991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83821</xdr:colOff>
      <xdr:row>20</xdr:row>
      <xdr:rowOff>106680</xdr:rowOff>
    </xdr:from>
    <xdr:to>
      <xdr:col>3</xdr:col>
      <xdr:colOff>79375</xdr:colOff>
      <xdr:row>25</xdr:row>
      <xdr:rowOff>76200</xdr:rowOff>
    </xdr:to>
    <mc:AlternateContent xmlns:mc="http://schemas.openxmlformats.org/markup-compatibility/2006" xmlns:a14="http://schemas.microsoft.com/office/drawing/2010/main">
      <mc:Choice Requires="a14">
        <xdr:graphicFrame macro="">
          <xdr:nvGraphicFramePr>
            <xdr:cNvPr id="28" name="Metal Color">
              <a:extLst>
                <a:ext uri="{FF2B5EF4-FFF2-40B4-BE49-F238E27FC236}">
                  <a16:creationId xmlns:a16="http://schemas.microsoft.com/office/drawing/2014/main" id="{599938A9-F4BE-4356-B530-05026D903E46}"/>
                </a:ext>
              </a:extLst>
            </xdr:cNvPr>
            <xdr:cNvGraphicFramePr/>
          </xdr:nvGraphicFramePr>
          <xdr:xfrm>
            <a:off x="0" y="0"/>
            <a:ext cx="0" cy="0"/>
          </xdr:xfrm>
          <a:graphic>
            <a:graphicData uri="http://schemas.microsoft.com/office/drawing/2010/slicer">
              <sle:slicer xmlns:sle="http://schemas.microsoft.com/office/drawing/2010/slicer" name="Metal Color"/>
            </a:graphicData>
          </a:graphic>
        </xdr:graphicFrame>
      </mc:Choice>
      <mc:Fallback xmlns="">
        <xdr:sp macro="" textlink="">
          <xdr:nvSpPr>
            <xdr:cNvPr id="0" name=""/>
            <xdr:cNvSpPr>
              <a:spLocks noTextEdit="1"/>
            </xdr:cNvSpPr>
          </xdr:nvSpPr>
          <xdr:spPr>
            <a:xfrm>
              <a:off x="83820" y="3764280"/>
              <a:ext cx="1935480" cy="883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_shop" refreshedDate="46029.152755439813" createdVersion="8" refreshedVersion="8" minRefreshableVersion="3" recordCount="111" xr:uid="{8CF3CA14-715D-41C7-888F-7FB3CBEE0965}">
  <cacheSource type="worksheet">
    <worksheetSource name="Table"/>
  </cacheSource>
  <cacheFields count="23">
    <cacheField name="Number of Orders" numFmtId="1">
      <sharedItems containsSemiMixedTypes="0" containsString="0" containsNumber="1" containsInteger="1" minValue="1" maxValue="111"/>
    </cacheField>
    <cacheField name="Custom Name" numFmtId="49">
      <sharedItems/>
    </cacheField>
    <cacheField name="Number of Customers" numFmtId="1">
      <sharedItems containsSemiMixedTypes="0" containsString="0" containsNumber="1" containsInteger="1" minValue="0" maxValue="1"/>
    </cacheField>
    <cacheField name="City" numFmtId="49">
      <sharedItems count="24">
        <s v="الجيزة"/>
        <s v="الإسكندرية"/>
        <s v="الساحل الشمالى"/>
        <s v="الغردقه"/>
        <s v="التجمع"/>
        <s v="القاهرة"/>
        <s v="مصر الجديده"/>
        <s v="مخزن اوسكار في القناطر"/>
        <s v="العين السخنه"/>
        <s v="القطاميه"/>
        <s v="الشروق"/>
        <s v="الرحاب"/>
        <s v="العبور"/>
        <s v="اسيوط"/>
        <s v="مدينة بدر"/>
        <s v="المخزن ابو الغيط"/>
        <s v="السويس"/>
        <s v="كومبوند جولدن جستس"/>
        <s v="مدينتى"/>
        <s v="مخزن شيك هومز"/>
        <s v="المخزن"/>
        <s v="التجمع " u="1"/>
        <s v="التجمع الخامس" u="1"/>
        <s v="أكتوبر" u="1"/>
      </sharedItems>
    </cacheField>
    <cacheField name="Sales Platform" numFmtId="49">
      <sharedItems count="8">
        <s v="هومزمارت"/>
        <s v="شيك هومز"/>
        <s v="فيسبوك"/>
        <s v="تاكى"/>
        <s v="اوسكار ريتن"/>
        <s v="السويس"/>
        <s v="منزلى"/>
        <s v="كميت"/>
      </sharedItems>
    </cacheField>
    <cacheField name="Product" numFmtId="49">
      <sharedItems count="6">
        <s v="سرير"/>
        <s v="ترابيزه"/>
        <s v="كنبة"/>
        <s v="ركنة"/>
        <s v="كرسى"/>
        <s v="شيزلونج"/>
      </sharedItems>
    </cacheField>
    <cacheField name="Product Description" numFmtId="49">
      <sharedItems/>
    </cacheField>
    <cacheField name="Metal Color" numFmtId="49">
      <sharedItems count="10">
        <s v="ابيض"/>
        <s v="اسود"/>
        <s v="ازرق"/>
        <s v="رمادى"/>
        <s v="دهبي"/>
        <s v="بنفسجى"/>
        <s v="اسود وبنى"/>
        <s v="ملون"/>
        <s v="بينك"/>
        <s v="نبيتى"/>
      </sharedItems>
    </cacheField>
    <cacheField name="Sale Price" numFmtId="1">
      <sharedItems containsSemiMixedTypes="0" containsString="0" containsNumber="1" minValue="4020" maxValue="22000"/>
    </cacheField>
    <cacheField name="Payment Method" numFmtId="0">
      <sharedItems containsMixedTypes="1" containsNumber="1" minValue="1278.53" maxValue="22000"/>
    </cacheField>
    <cacheField name="Order Date" numFmtId="14">
      <sharedItems containsSemiMixedTypes="0" containsNonDate="0" containsDate="1" containsString="0" minDate="2024-07-27T00:00:00" maxDate="2024-12-15T00:00:00" count="55">
        <d v="2024-07-27T00:00:00"/>
        <d v="2024-07-28T00:00:00"/>
        <d v="2024-08-25T00:00:00"/>
        <d v="2024-08-16T00:00:00"/>
        <d v="2024-08-14T00:00:00"/>
        <d v="2024-08-17T00:00:00"/>
        <d v="2024-08-19T00:00:00"/>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0"/>
    </cacheField>
    <cacheField name="Order Date Month" numFmtId="166">
      <sharedItems containsSemiMixedTypes="0" containsNonDate="0" containsDate="1" containsString="0" minDate="2024-07-27T00:00:00" maxDate="2024-12-15T00:00:00" count="55">
        <d v="2024-07-27T00:00:00"/>
        <d v="2024-07-28T00:00:00"/>
        <d v="2024-08-25T00:00:00"/>
        <d v="2024-08-16T00:00:00"/>
        <d v="2024-08-14T00:00:00"/>
        <d v="2024-08-17T00:00:00"/>
        <d v="2024-08-19T00:00:00"/>
        <d v="2024-09-01T00:00:00"/>
        <d v="2024-09-05T00:00:00"/>
        <d v="2024-09-04T00:00:00"/>
        <d v="2024-09-03T00:00:00"/>
        <d v="2024-09-06T00:00:00"/>
        <d v="2024-09-09T00:00:00"/>
        <d v="2024-09-12T00:00:00"/>
        <d v="2024-09-14T00:00:00"/>
        <d v="2024-09-13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2"/>
    </cacheField>
    <cacheField name="Delivery Date" numFmtId="14">
      <sharedItems containsSemiMixedTypes="0" containsNonDate="0" containsDate="1" containsString="0" minDate="2024-08-07T00:00:00" maxDate="2025-01-06T00:00:00"/>
    </cacheField>
    <cacheField name="Date of Delivery" numFmtId="14">
      <sharedItems containsSemiMixedTypes="0" containsNonDate="0" containsDate="1" containsString="0" minDate="2024-08-10T00:00:00" maxDate="2024-12-30T00:00:00"/>
    </cacheField>
    <cacheField name="On-Time Delivery" numFmtId="49">
      <sharedItems/>
    </cacheField>
    <cacheField name="Delivery Status" numFmtId="49">
      <sharedItems count="3">
        <s v="تأخير"/>
        <s v="لاغى"/>
        <s v="في الموعد"/>
      </sharedItems>
    </cacheField>
    <cacheField name="Person Responsible for Delivery" numFmtId="49">
      <sharedItems count="7">
        <s v="تم التسليم عن طريق شركه شحن"/>
        <s v="فشل التسليم"/>
        <s v="تم التسليم محمود على"/>
        <s v="ملغى"/>
        <s v="تم التسليم بمعرفه الحج سيد"/>
        <s v="تم التسليم م محمد"/>
        <s v="العميل رفض الاستلام"/>
      </sharedItems>
    </cacheField>
    <cacheField name="Number of Companies" numFmtId="1">
      <sharedItems containsSemiMixedTypes="0" containsString="0" containsNumber="1" containsInteger="1" minValue="0" maxValue="1"/>
    </cacheField>
    <cacheField name="Status" numFmtId="49">
      <sharedItems count="4">
        <s v="تم التسليم"/>
        <s v="لاغى"/>
        <s v="مرتجع"/>
        <s v="تم التصنيع"/>
      </sharedItems>
    </cacheField>
    <cacheField name="Days (Order Date)" numFmtId="0" databaseField="0">
      <fieldGroup base="10">
        <rangePr groupBy="days" startDate="2024-07-27T00:00:00" endDate="2024-12-15T00:00:00"/>
        <groupItems count="368">
          <s v="&lt;27/07/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4"/>
        </groupItems>
      </fieldGroup>
    </cacheField>
    <cacheField name="Months (Order Date)" numFmtId="0" databaseField="0">
      <fieldGroup base="10">
        <rangePr groupBy="months" startDate="2024-07-27T00:00:00" endDate="2024-12-15T00:00:00"/>
        <groupItems count="14">
          <s v="&lt;27/07/2024"/>
          <s v="Jan"/>
          <s v="Feb"/>
          <s v="Mar"/>
          <s v="Apr"/>
          <s v="May"/>
          <s v="Jun"/>
          <s v="Jul"/>
          <s v="Aug"/>
          <s v="Sep"/>
          <s v="Oct"/>
          <s v="Nov"/>
          <s v="Dec"/>
          <s v="&gt;15/12/2024"/>
        </groupItems>
      </fieldGroup>
    </cacheField>
    <cacheField name="Days (Order Date Month)" numFmtId="0" databaseField="0">
      <fieldGroup base="11">
        <rangePr groupBy="days" startDate="2024-07-27T00:00:00" endDate="2024-12-15T00:00:00"/>
        <groupItems count="368">
          <s v="&lt;27/07/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4"/>
        </groupItems>
      </fieldGroup>
    </cacheField>
    <cacheField name="Months (Order Date Month)" numFmtId="0" databaseField="0">
      <fieldGroup base="11">
        <rangePr groupBy="months" startDate="2024-07-27T00:00:00" endDate="2024-12-15T00:00:00"/>
        <groupItems count="14">
          <s v="&lt;27/07/2024"/>
          <s v="Jan"/>
          <s v="Feb"/>
          <s v="Mar"/>
          <s v="Apr"/>
          <s v="May"/>
          <s v="Jun"/>
          <s v="Jul"/>
          <s v="Aug"/>
          <s v="Sep"/>
          <s v="Oct"/>
          <s v="Nov"/>
          <s v="Dec"/>
          <s v="&gt;15/12/2024"/>
        </groupItems>
      </fieldGroup>
    </cacheField>
  </cacheFields>
  <extLst>
    <ext xmlns:x14="http://schemas.microsoft.com/office/spreadsheetml/2009/9/main" uri="{725AE2AE-9491-48be-B2B4-4EB974FC3084}">
      <x14:pivotCacheDefinition pivotCacheId="2177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n v="1"/>
    <s v="خالد عبد القوى"/>
    <n v="1"/>
    <x v="0"/>
    <x v="0"/>
    <x v="0"/>
    <s v="منطبق"/>
    <x v="0"/>
    <n v="10160"/>
    <s v="مسبق الدفع"/>
    <x v="0"/>
    <x v="0"/>
    <d v="2024-08-07T00:00:00"/>
    <d v="2024-08-10T00:00:00"/>
    <s v="لم يتم التسليم في الميعاد"/>
    <x v="0"/>
    <x v="0"/>
    <n v="1"/>
    <x v="0"/>
  </r>
  <r>
    <n v="2"/>
    <s v="محمود"/>
    <n v="1"/>
    <x v="1"/>
    <x v="0"/>
    <x v="0"/>
    <s v="منطبق"/>
    <x v="1"/>
    <n v="10160"/>
    <n v="9749"/>
    <x v="1"/>
    <x v="1"/>
    <d v="2024-08-08T00:00:00"/>
    <d v="2024-08-11T00:00:00"/>
    <s v="لم يتم التسليم في الميعاد"/>
    <x v="0"/>
    <x v="0"/>
    <n v="0"/>
    <x v="0"/>
  </r>
  <r>
    <n v="3"/>
    <s v="سعيد"/>
    <n v="1"/>
    <x v="2"/>
    <x v="0"/>
    <x v="0"/>
    <s v="دورين"/>
    <x v="2"/>
    <n v="11455"/>
    <n v="10067.68"/>
    <x v="0"/>
    <x v="0"/>
    <d v="2024-08-12T00:00:00"/>
    <d v="2024-08-15T00:00:00"/>
    <s v="لاغى"/>
    <x v="1"/>
    <x v="1"/>
    <n v="1"/>
    <x v="1"/>
  </r>
  <r>
    <n v="4"/>
    <s v="ساندرا"/>
    <n v="1"/>
    <x v="3"/>
    <x v="0"/>
    <x v="1"/>
    <s v="2 ميكانزم"/>
    <x v="1"/>
    <n v="8642"/>
    <s v="مسبق الدفع"/>
    <x v="2"/>
    <x v="2"/>
    <d v="2024-09-07T00:00:00"/>
    <d v="2024-08-27T00:00:00"/>
    <s v="تم التسليم في الميعاد"/>
    <x v="2"/>
    <x v="0"/>
    <n v="0"/>
    <x v="0"/>
  </r>
  <r>
    <n v="5"/>
    <s v="زينا"/>
    <n v="1"/>
    <x v="2"/>
    <x v="0"/>
    <x v="0"/>
    <s v="دورين"/>
    <x v="3"/>
    <n v="12833"/>
    <n v="12974.22"/>
    <x v="3"/>
    <x v="3"/>
    <d v="2024-08-31T00:00:00"/>
    <d v="2024-09-02T00:00:00"/>
    <s v="لاغى"/>
    <x v="1"/>
    <x v="1"/>
    <n v="0"/>
    <x v="1"/>
  </r>
  <r>
    <n v="6"/>
    <s v="شيك هومز"/>
    <n v="0"/>
    <x v="0"/>
    <x v="1"/>
    <x v="2"/>
    <s v="4×1"/>
    <x v="3"/>
    <n v="14550"/>
    <s v="مسبق الدفع"/>
    <x v="4"/>
    <x v="4"/>
    <d v="2024-09-03T00:00:00"/>
    <d v="2024-09-05T00:00:00"/>
    <s v="لم يتم التسليم في الميعاد"/>
    <x v="0"/>
    <x v="0"/>
    <n v="0"/>
    <x v="0"/>
  </r>
  <r>
    <n v="7"/>
    <s v="احمد"/>
    <n v="0"/>
    <x v="4"/>
    <x v="2"/>
    <x v="2"/>
    <s v="4×1"/>
    <x v="3"/>
    <n v="12000"/>
    <n v="12000"/>
    <x v="5"/>
    <x v="5"/>
    <d v="2024-08-20T00:00:00"/>
    <d v="2024-08-19T00:00:00"/>
    <s v="تم التسليم في الميعاد"/>
    <x v="2"/>
    <x v="0"/>
    <n v="0"/>
    <x v="0"/>
  </r>
  <r>
    <n v="8"/>
    <s v="yilmaz"/>
    <n v="1"/>
    <x v="0"/>
    <x v="0"/>
    <x v="0"/>
    <s v="فردى"/>
    <x v="0"/>
    <n v="7228"/>
    <s v="مسبق الدفع"/>
    <x v="2"/>
    <x v="2"/>
    <d v="2024-09-03T00:00:00"/>
    <d v="2024-09-10T00:00:00"/>
    <s v="لم يتم التسليم في الميعاد"/>
    <x v="0"/>
    <x v="0"/>
    <n v="0"/>
    <x v="0"/>
  </r>
  <r>
    <n v="9"/>
    <s v="تاكى"/>
    <n v="0"/>
    <x v="5"/>
    <x v="3"/>
    <x v="3"/>
    <s v="ركنة بسرير"/>
    <x v="1"/>
    <n v="22000"/>
    <n v="22000"/>
    <x v="6"/>
    <x v="6"/>
    <d v="2024-09-01T00:00:00"/>
    <d v="2024-09-17T00:00:00"/>
    <s v="لم يتم التسليم في الميعاد"/>
    <x v="0"/>
    <x v="2"/>
    <n v="1"/>
    <x v="0"/>
  </r>
  <r>
    <n v="10"/>
    <s v="تاكى"/>
    <n v="0"/>
    <x v="5"/>
    <x v="3"/>
    <x v="2"/>
    <s v="سحارة"/>
    <x v="1"/>
    <n v="12000"/>
    <n v="12000"/>
    <x v="2"/>
    <x v="2"/>
    <d v="2024-09-15T00:00:00"/>
    <d v="2024-09-17T00:00:00"/>
    <s v="لم يتم التسليم في الميعاد"/>
    <x v="0"/>
    <x v="2"/>
    <n v="0"/>
    <x v="0"/>
  </r>
  <r>
    <n v="11"/>
    <s v="على رشوان"/>
    <n v="1"/>
    <x v="6"/>
    <x v="0"/>
    <x v="0"/>
    <s v="دورين"/>
    <x v="0"/>
    <n v="10499"/>
    <n v="8924"/>
    <x v="7"/>
    <x v="7"/>
    <d v="2024-09-16T00:00:00"/>
    <d v="2024-09-08T00:00:00"/>
    <s v="تم التسليم في الميعاد"/>
    <x v="2"/>
    <x v="0"/>
    <n v="0"/>
    <x v="0"/>
  </r>
  <r>
    <n v="12"/>
    <s v="احمد فخرى"/>
    <n v="1"/>
    <x v="0"/>
    <x v="0"/>
    <x v="0"/>
    <s v="فردى"/>
    <x v="0"/>
    <n v="7295"/>
    <n v="5895"/>
    <x v="8"/>
    <x v="8"/>
    <d v="2024-09-14T00:00:00"/>
    <d v="2024-09-20T00:00:00"/>
    <s v="لاغى"/>
    <x v="1"/>
    <x v="3"/>
    <n v="1"/>
    <x v="1"/>
  </r>
  <r>
    <n v="13"/>
    <s v="لينا"/>
    <n v="1"/>
    <x v="5"/>
    <x v="0"/>
    <x v="1"/>
    <s v="2 ميكانزم"/>
    <x v="1"/>
    <n v="7849"/>
    <s v="مسبق الدفع"/>
    <x v="9"/>
    <x v="9"/>
    <d v="2024-09-16T00:00:00"/>
    <d v="2024-09-25T00:00:00"/>
    <s v="لم يتم التسليم في الميعاد"/>
    <x v="0"/>
    <x v="0"/>
    <n v="0"/>
    <x v="2"/>
  </r>
  <r>
    <n v="14"/>
    <s v="فيصل نعيم"/>
    <n v="1"/>
    <x v="4"/>
    <x v="4"/>
    <x v="0"/>
    <s v="دورين"/>
    <x v="1"/>
    <n v="6180"/>
    <n v="9700"/>
    <x v="10"/>
    <x v="10"/>
    <d v="2024-09-16T00:00:00"/>
    <d v="2024-09-15T00:00:00"/>
    <s v="تم التسليم في الميعاد"/>
    <x v="2"/>
    <x v="2"/>
    <n v="0"/>
    <x v="0"/>
  </r>
  <r>
    <n v="15"/>
    <s v="ellho elkafy"/>
    <n v="1"/>
    <x v="5"/>
    <x v="0"/>
    <x v="0"/>
    <s v="دورين"/>
    <x v="0"/>
    <n v="11199"/>
    <n v="11310"/>
    <x v="9"/>
    <x v="9"/>
    <d v="2024-09-18T00:00:00"/>
    <d v="2024-09-20T00:00:00"/>
    <s v="لاغى"/>
    <x v="1"/>
    <x v="3"/>
    <n v="0"/>
    <x v="1"/>
  </r>
  <r>
    <n v="16"/>
    <s v="احمد"/>
    <n v="0"/>
    <x v="6"/>
    <x v="0"/>
    <x v="0"/>
    <s v="فردى"/>
    <x v="0"/>
    <n v="7987"/>
    <s v="مسبق الدفع"/>
    <x v="11"/>
    <x v="11"/>
    <d v="2024-09-16T00:00:00"/>
    <d v="2024-09-21T00:00:00"/>
    <s v="لم يتم التسليم في الميعاد"/>
    <x v="0"/>
    <x v="2"/>
    <n v="0"/>
    <x v="0"/>
  </r>
  <r>
    <n v="17"/>
    <s v="تاكى"/>
    <n v="0"/>
    <x v="5"/>
    <x v="3"/>
    <x v="4"/>
    <s v="فينيسيا"/>
    <x v="1"/>
    <n v="9300"/>
    <n v="9300"/>
    <x v="9"/>
    <x v="9"/>
    <d v="2024-09-15T00:00:00"/>
    <d v="2024-09-17T00:00:00"/>
    <s v="لم يتم التسليم في الميعاد"/>
    <x v="0"/>
    <x v="2"/>
    <n v="0"/>
    <x v="0"/>
  </r>
  <r>
    <n v="18"/>
    <s v="صفاء"/>
    <n v="1"/>
    <x v="5"/>
    <x v="0"/>
    <x v="1"/>
    <s v="2 ميكانزم"/>
    <x v="1"/>
    <n v="8849"/>
    <s v="مسبق الدفع"/>
    <x v="10"/>
    <x v="10"/>
    <d v="2024-10-16T00:00:00"/>
    <d v="2024-10-20T00:00:00"/>
    <s v="لاغى"/>
    <x v="1"/>
    <x v="3"/>
    <n v="0"/>
    <x v="1"/>
  </r>
  <r>
    <n v="19"/>
    <s v="حسن حازم"/>
    <n v="1"/>
    <x v="0"/>
    <x v="0"/>
    <x v="0"/>
    <s v="فردى"/>
    <x v="0"/>
    <n v="10987"/>
    <s v="مسبق الدفع"/>
    <x v="12"/>
    <x v="12"/>
    <d v="2024-09-17T00:00:00"/>
    <d v="2024-09-21T00:00:00"/>
    <s v="لم يتم التسليم في الميعاد"/>
    <x v="0"/>
    <x v="2"/>
    <n v="0"/>
    <x v="0"/>
  </r>
  <r>
    <n v="20"/>
    <s v="شيك هومز"/>
    <n v="0"/>
    <x v="0"/>
    <x v="1"/>
    <x v="0"/>
    <s v="دورين"/>
    <x v="0"/>
    <n v="9208"/>
    <n v="5781.75"/>
    <x v="7"/>
    <x v="7"/>
    <d v="2024-09-19T00:00:00"/>
    <d v="2024-09-21T00:00:00"/>
    <s v="لم يتم التسليم في الميعاد"/>
    <x v="0"/>
    <x v="2"/>
    <n v="0"/>
    <x v="0"/>
  </r>
  <r>
    <n v="21"/>
    <s v="شيك هومز"/>
    <n v="0"/>
    <x v="0"/>
    <x v="1"/>
    <x v="0"/>
    <s v="دورين"/>
    <x v="1"/>
    <n v="9208"/>
    <n v="1278.53"/>
    <x v="7"/>
    <x v="7"/>
    <d v="2024-09-19T00:00:00"/>
    <d v="2024-09-21T00:00:00"/>
    <s v="لم يتم التسليم في الميعاد"/>
    <x v="0"/>
    <x v="2"/>
    <n v="0"/>
    <x v="0"/>
  </r>
  <r>
    <n v="22"/>
    <s v="اوسكار راتن"/>
    <n v="0"/>
    <x v="7"/>
    <x v="4"/>
    <x v="0"/>
    <s v="فردى"/>
    <x v="0"/>
    <n v="4020"/>
    <s v="حساب شركه"/>
    <x v="13"/>
    <x v="13"/>
    <d v="2024-09-21T00:00:00"/>
    <d v="2024-09-22T00:00:00"/>
    <s v="لم يتم التسليم في الميعاد"/>
    <x v="0"/>
    <x v="2"/>
    <n v="0"/>
    <x v="0"/>
  </r>
  <r>
    <n v="23"/>
    <s v="اوسكار راتن"/>
    <n v="0"/>
    <x v="7"/>
    <x v="4"/>
    <x v="0"/>
    <s v="فردى"/>
    <x v="1"/>
    <n v="4020"/>
    <s v="مسبق الدفع "/>
    <x v="13"/>
    <x v="13"/>
    <d v="2024-09-21T00:00:00"/>
    <d v="2024-09-22T00:00:00"/>
    <s v="لم يتم التسليم في الميعاد"/>
    <x v="0"/>
    <x v="2"/>
    <n v="0"/>
    <x v="0"/>
  </r>
  <r>
    <n v="24"/>
    <s v="صفاء الحكيم"/>
    <n v="1"/>
    <x v="8"/>
    <x v="0"/>
    <x v="0"/>
    <s v="منطبق"/>
    <x v="1"/>
    <n v="9399"/>
    <s v="مسبق الدفع "/>
    <x v="14"/>
    <x v="14"/>
    <d v="2024-09-22T00:00:00"/>
    <d v="2024-09-30T00:00:00"/>
    <s v="لاغى"/>
    <x v="1"/>
    <x v="1"/>
    <n v="0"/>
    <x v="1"/>
  </r>
  <r>
    <n v="25"/>
    <s v="يوسف شناوى"/>
    <n v="1"/>
    <x v="1"/>
    <x v="0"/>
    <x v="1"/>
    <s v="رف سحاب"/>
    <x v="1"/>
    <n v="8349"/>
    <s v="مسبق الدفع "/>
    <x v="14"/>
    <x v="14"/>
    <d v="2024-09-22T00:00:00"/>
    <d v="2024-09-24T00:00:00"/>
    <s v="لم يتم التسليم في الميعاد"/>
    <x v="0"/>
    <x v="0"/>
    <n v="0"/>
    <x v="0"/>
  </r>
  <r>
    <n v="26"/>
    <s v="حاتم العيسوي"/>
    <n v="1"/>
    <x v="0"/>
    <x v="0"/>
    <x v="0"/>
    <s v="منطبق"/>
    <x v="1"/>
    <n v="9399"/>
    <s v="مسبق الدفع"/>
    <x v="15"/>
    <x v="15"/>
    <d v="2024-09-24T00:00:00"/>
    <d v="2024-10-01T00:00:00"/>
    <s v="لم يتم التسليم في الميعاد"/>
    <x v="0"/>
    <x v="0"/>
    <n v="0"/>
    <x v="0"/>
  </r>
  <r>
    <n v="27"/>
    <s v="رنا"/>
    <n v="1"/>
    <x v="9"/>
    <x v="0"/>
    <x v="1"/>
    <s v="2 ميكانزم"/>
    <x v="1"/>
    <n v="7849"/>
    <n v="7928"/>
    <x v="13"/>
    <x v="13"/>
    <d v="2024-09-26T00:00:00"/>
    <d v="2024-09-21T00:00:00"/>
    <s v="تم التسليم في الميعاد"/>
    <x v="2"/>
    <x v="0"/>
    <n v="0"/>
    <x v="3"/>
  </r>
  <r>
    <n v="28"/>
    <s v="عبير نور الدين"/>
    <n v="1"/>
    <x v="0"/>
    <x v="2"/>
    <x v="0"/>
    <s v="ثلاثه ادوار"/>
    <x v="1"/>
    <n v="9450"/>
    <n v="9450"/>
    <x v="13"/>
    <x v="13"/>
    <d v="2024-09-26T00:00:00"/>
    <d v="2024-09-30T00:00:00"/>
    <s v="لاغى"/>
    <x v="1"/>
    <x v="3"/>
    <n v="0"/>
    <x v="1"/>
  </r>
  <r>
    <n v="29"/>
    <s v="اسراء ابو العنين"/>
    <n v="1"/>
    <x v="6"/>
    <x v="0"/>
    <x v="0"/>
    <s v="فردى"/>
    <x v="1"/>
    <n v="7460"/>
    <s v="مسبق الدفع"/>
    <x v="15"/>
    <x v="15"/>
    <d v="2024-09-26T00:00:00"/>
    <d v="2024-10-03T00:00:00"/>
    <s v="لم يتم التسليم في الميعاد"/>
    <x v="0"/>
    <x v="2"/>
    <n v="0"/>
    <x v="0"/>
  </r>
  <r>
    <n v="30"/>
    <s v="وائل صادق"/>
    <n v="1"/>
    <x v="6"/>
    <x v="0"/>
    <x v="0"/>
    <s v="فردى"/>
    <x v="4"/>
    <n v="9528"/>
    <s v="مسبق الدفع"/>
    <x v="15"/>
    <x v="15"/>
    <d v="2024-09-26T00:00:00"/>
    <d v="2024-10-03T00:00:00"/>
    <s v="لم يتم التسليم في الميعاد"/>
    <x v="0"/>
    <x v="2"/>
    <n v="0"/>
    <x v="0"/>
  </r>
  <r>
    <n v="31"/>
    <s v="حسن مغرب"/>
    <n v="1"/>
    <x v="0"/>
    <x v="0"/>
    <x v="0"/>
    <s v="دورين"/>
    <x v="3"/>
    <n v="12999"/>
    <s v="مسبق الدفع"/>
    <x v="14"/>
    <x v="14"/>
    <d v="2024-09-27T00:00:00"/>
    <d v="2024-10-02T00:00:00"/>
    <s v="لم يتم التسليم في الميعاد"/>
    <x v="0"/>
    <x v="2"/>
    <n v="0"/>
    <x v="0"/>
  </r>
  <r>
    <n v="32"/>
    <s v="على السيد"/>
    <n v="1"/>
    <x v="10"/>
    <x v="0"/>
    <x v="0"/>
    <s v="دورين"/>
    <x v="1"/>
    <n v="5999"/>
    <s v="مسبق الدفع"/>
    <x v="13"/>
    <x v="13"/>
    <d v="2024-09-29T00:00:00"/>
    <d v="2024-10-02T00:00:00"/>
    <s v="لاغى"/>
    <x v="1"/>
    <x v="3"/>
    <n v="0"/>
    <x v="1"/>
  </r>
  <r>
    <n v="33"/>
    <s v="هشام بسيونى"/>
    <n v="1"/>
    <x v="0"/>
    <x v="0"/>
    <x v="0"/>
    <s v="دورين"/>
    <x v="1"/>
    <n v="11949"/>
    <n v="10749"/>
    <x v="13"/>
    <x v="13"/>
    <d v="2024-09-29T00:00:00"/>
    <d v="2024-10-02T00:00:00"/>
    <s v="لم يتم التسليم في الميعاد"/>
    <x v="0"/>
    <x v="2"/>
    <n v="0"/>
    <x v="0"/>
  </r>
  <r>
    <n v="34"/>
    <s v="احمد"/>
    <n v="1"/>
    <x v="10"/>
    <x v="0"/>
    <x v="0"/>
    <s v="ثلاثه ادوار"/>
    <x v="0"/>
    <n v="16599"/>
    <s v="مسبق الدفع"/>
    <x v="15"/>
    <x v="15"/>
    <d v="2024-09-30T00:00:00"/>
    <d v="2024-10-03T00:00:00"/>
    <s v="لم يتم التسليم في الميعاد"/>
    <x v="0"/>
    <x v="2"/>
    <n v="0"/>
    <x v="0"/>
  </r>
  <r>
    <n v="35"/>
    <s v="ساره وجيه"/>
    <n v="1"/>
    <x v="3"/>
    <x v="0"/>
    <x v="0"/>
    <s v="دورين"/>
    <x v="0"/>
    <n v="10999"/>
    <s v="مسبق الدفع"/>
    <x v="15"/>
    <x v="15"/>
    <d v="2024-09-30T00:00:00"/>
    <d v="2024-10-16T00:00:00"/>
    <s v="لم يتم التسليم في الميعاد"/>
    <x v="0"/>
    <x v="0"/>
    <n v="0"/>
    <x v="0"/>
  </r>
  <r>
    <n v="36"/>
    <s v="مها"/>
    <n v="1"/>
    <x v="8"/>
    <x v="0"/>
    <x v="0"/>
    <s v="دورين"/>
    <x v="2"/>
    <n v="13099"/>
    <s v="مسبق الدفع"/>
    <x v="15"/>
    <x v="15"/>
    <d v="2024-09-30T00:00:00"/>
    <d v="2024-10-03T00:00:00"/>
    <s v="لم يتم التسليم في الميعاد"/>
    <x v="0"/>
    <x v="0"/>
    <n v="0"/>
    <x v="0"/>
  </r>
  <r>
    <n v="37"/>
    <s v="بسام الشربينى"/>
    <n v="1"/>
    <x v="0"/>
    <x v="0"/>
    <x v="0"/>
    <s v="دورين"/>
    <x v="5"/>
    <n v="13849"/>
    <s v="مسبق الدفع"/>
    <x v="15"/>
    <x v="15"/>
    <d v="2024-09-30T00:00:00"/>
    <d v="2024-10-20T00:00:00"/>
    <s v="لم يتم التسليم في الميعاد"/>
    <x v="0"/>
    <x v="2"/>
    <n v="0"/>
    <x v="0"/>
  </r>
  <r>
    <n v="38"/>
    <s v="هبه عبد الفتاح"/>
    <n v="1"/>
    <x v="6"/>
    <x v="0"/>
    <x v="2"/>
    <s v="4×1"/>
    <x v="1"/>
    <n v="21999"/>
    <s v="مسبق الدفع"/>
    <x v="15"/>
    <x v="15"/>
    <d v="2024-09-30T00:00:00"/>
    <d v="2024-10-02T00:00:00"/>
    <s v="لم يتم التسليم في الميعاد"/>
    <x v="0"/>
    <x v="2"/>
    <n v="0"/>
    <x v="0"/>
  </r>
  <r>
    <n v="39"/>
    <s v="اسراء ابراهيم"/>
    <n v="1"/>
    <x v="0"/>
    <x v="0"/>
    <x v="0"/>
    <s v="دورين"/>
    <x v="0"/>
    <n v="10999"/>
    <s v="مسبق الدفع"/>
    <x v="15"/>
    <x v="15"/>
    <d v="2024-09-30T00:00:00"/>
    <d v="2024-10-15T00:00:00"/>
    <s v="لم يتم التسليم في الميعاد"/>
    <x v="0"/>
    <x v="2"/>
    <n v="0"/>
    <x v="0"/>
  </r>
  <r>
    <n v="40"/>
    <s v="طارق كمال"/>
    <n v="1"/>
    <x v="5"/>
    <x v="0"/>
    <x v="0"/>
    <s v="ثلاثه ادوار"/>
    <x v="1"/>
    <n v="17249"/>
    <s v="مسبق الدفع"/>
    <x v="15"/>
    <x v="15"/>
    <d v="2024-09-30T00:00:00"/>
    <d v="2024-10-04T00:00:00"/>
    <s v="لم يتم التسليم في الميعاد"/>
    <x v="0"/>
    <x v="2"/>
    <n v="0"/>
    <x v="0"/>
  </r>
  <r>
    <n v="41"/>
    <s v="ديفد بهجت"/>
    <n v="1"/>
    <x v="0"/>
    <x v="0"/>
    <x v="1"/>
    <s v="2 ميكانزم"/>
    <x v="1"/>
    <n v="8349"/>
    <s v="مسبق الدفع"/>
    <x v="14"/>
    <x v="14"/>
    <d v="2024-10-16T00:00:00"/>
    <d v="2024-10-21T00:00:00"/>
    <s v="لم يتم التسليم في الميعاد"/>
    <x v="0"/>
    <x v="2"/>
    <n v="0"/>
    <x v="0"/>
  </r>
  <r>
    <n v="42"/>
    <s v="اياد"/>
    <n v="1"/>
    <x v="5"/>
    <x v="0"/>
    <x v="1"/>
    <s v="بمكتبة"/>
    <x v="1"/>
    <n v="7849"/>
    <s v="مسبق الدفع"/>
    <x v="14"/>
    <x v="14"/>
    <d v="2024-10-29T00:00:00"/>
    <d v="2024-10-30T00:00:00"/>
    <s v="لم يتم التسليم في الميعاد"/>
    <x v="0"/>
    <x v="2"/>
    <n v="0"/>
    <x v="0"/>
  </r>
  <r>
    <n v="43"/>
    <s v="ميار خورشد"/>
    <n v="1"/>
    <x v="0"/>
    <x v="0"/>
    <x v="0"/>
    <s v="منطبق"/>
    <x v="1"/>
    <n v="9399"/>
    <s v="مسبق الدفع "/>
    <x v="14"/>
    <x v="14"/>
    <d v="2024-10-29T00:00:00"/>
    <d v="2024-10-15T00:00:00"/>
    <s v="تم التسليم في الميعاد"/>
    <x v="2"/>
    <x v="2"/>
    <n v="0"/>
    <x v="0"/>
  </r>
  <r>
    <n v="44"/>
    <s v="عبد الله سيد"/>
    <n v="1"/>
    <x v="0"/>
    <x v="0"/>
    <x v="0"/>
    <s v="فردى"/>
    <x v="1"/>
    <n v="11817"/>
    <s v="مسبق الدفع "/>
    <x v="14"/>
    <x v="14"/>
    <d v="2024-10-29T00:00:00"/>
    <d v="2024-10-15T00:00:00"/>
    <s v="تم التسليم في الميعاد"/>
    <x v="2"/>
    <x v="2"/>
    <n v="0"/>
    <x v="0"/>
  </r>
  <r>
    <n v="45"/>
    <s v="كينج سونا"/>
    <n v="1"/>
    <x v="10"/>
    <x v="0"/>
    <x v="1"/>
    <s v="رف سحاب"/>
    <x v="1"/>
    <n v="8349"/>
    <s v="مسبق الدفع "/>
    <x v="14"/>
    <x v="14"/>
    <d v="2024-10-29T00:00:00"/>
    <d v="2024-10-19T00:00:00"/>
    <s v="تم التسليم في الميعاد"/>
    <x v="2"/>
    <x v="2"/>
    <n v="0"/>
    <x v="0"/>
  </r>
  <r>
    <n v="46"/>
    <s v="احمد خالد"/>
    <n v="1"/>
    <x v="11"/>
    <x v="0"/>
    <x v="0"/>
    <s v="فردى"/>
    <x v="0"/>
    <n v="17886"/>
    <s v="مسبق الدفع "/>
    <x v="14"/>
    <x v="14"/>
    <d v="2024-10-29T00:00:00"/>
    <d v="2024-11-02T00:00:00"/>
    <s v="لاغى"/>
    <x v="1"/>
    <x v="3"/>
    <n v="0"/>
    <x v="1"/>
  </r>
  <r>
    <n v="47"/>
    <s v="ساره"/>
    <n v="0"/>
    <x v="6"/>
    <x v="0"/>
    <x v="0"/>
    <s v="فردى"/>
    <x v="0"/>
    <n v="10987"/>
    <s v="مسبق الدفع"/>
    <x v="14"/>
    <x v="14"/>
    <d v="2024-10-29T00:00:00"/>
    <d v="2024-10-13T00:00:00"/>
    <s v="تم التسليم في الميعاد"/>
    <x v="2"/>
    <x v="2"/>
    <n v="0"/>
    <x v="0"/>
  </r>
  <r>
    <n v="48"/>
    <s v="احمد ايمن"/>
    <n v="1"/>
    <x v="12"/>
    <x v="0"/>
    <x v="1"/>
    <s v="2 ميكانزم"/>
    <x v="1"/>
    <n v="10319"/>
    <s v="مسبق الدفع"/>
    <x v="14"/>
    <x v="14"/>
    <d v="2024-10-29T00:00:00"/>
    <d v="2024-10-19T00:00:00"/>
    <s v="تم التسليم في الميعاد"/>
    <x v="2"/>
    <x v="2"/>
    <n v="0"/>
    <x v="0"/>
  </r>
  <r>
    <n v="49"/>
    <s v="مصطفي غنيم"/>
    <n v="1"/>
    <x v="13"/>
    <x v="0"/>
    <x v="0"/>
    <s v="دورين"/>
    <x v="3"/>
    <n v="12999"/>
    <s v="مسبق الدفع "/>
    <x v="14"/>
    <x v="14"/>
    <d v="2024-11-20T00:00:00"/>
    <d v="2024-10-17T00:00:00"/>
    <s v="تم التسليم في الميعاد"/>
    <x v="2"/>
    <x v="0"/>
    <n v="0"/>
    <x v="0"/>
  </r>
  <r>
    <n v="50"/>
    <s v="حسام عبدون"/>
    <n v="1"/>
    <x v="3"/>
    <x v="0"/>
    <x v="2"/>
    <s v="4×1"/>
    <x v="1"/>
    <n v="21999"/>
    <s v="مسبق الدفع"/>
    <x v="14"/>
    <x v="14"/>
    <d v="2024-11-20T00:00:00"/>
    <d v="2024-11-22T00:00:00"/>
    <s v="لاغى"/>
    <x v="1"/>
    <x v="3"/>
    <n v="0"/>
    <x v="1"/>
  </r>
  <r>
    <n v="51"/>
    <s v="رامى"/>
    <n v="1"/>
    <x v="10"/>
    <x v="0"/>
    <x v="0"/>
    <s v="دورين"/>
    <x v="3"/>
    <n v="12399"/>
    <s v="مسبق الدفع"/>
    <x v="14"/>
    <x v="14"/>
    <d v="2024-11-20T00:00:00"/>
    <d v="2024-10-01T00:00:00"/>
    <s v="تم التسليم في الميعاد"/>
    <x v="2"/>
    <x v="0"/>
    <n v="0"/>
    <x v="0"/>
  </r>
  <r>
    <n v="52"/>
    <s v="رحاب"/>
    <n v="1"/>
    <x v="6"/>
    <x v="0"/>
    <x v="2"/>
    <s v="4×1"/>
    <x v="1"/>
    <n v="21999"/>
    <s v="مسبق الدفع"/>
    <x v="14"/>
    <x v="14"/>
    <d v="2024-11-20T00:00:00"/>
    <d v="2024-10-09T00:00:00"/>
    <s v="تم التسليم في الميعاد"/>
    <x v="2"/>
    <x v="2"/>
    <n v="0"/>
    <x v="0"/>
  </r>
  <r>
    <n v="53"/>
    <s v="فؤاد المنسي"/>
    <n v="1"/>
    <x v="5"/>
    <x v="0"/>
    <x v="0"/>
    <s v="دورين"/>
    <x v="0"/>
    <n v="10999"/>
    <s v="مسبق الدفع "/>
    <x v="14"/>
    <x v="14"/>
    <d v="2024-11-20T00:00:00"/>
    <d v="2024-10-16T00:00:00"/>
    <s v="تم التسليم في الميعاد"/>
    <x v="2"/>
    <x v="2"/>
    <n v="0"/>
    <x v="0"/>
  </r>
  <r>
    <n v="54"/>
    <s v="mohannad"/>
    <n v="1"/>
    <x v="5"/>
    <x v="0"/>
    <x v="0"/>
    <s v="دورين"/>
    <x v="0"/>
    <n v="10999"/>
    <s v="مسبق الدفع "/>
    <x v="16"/>
    <x v="16"/>
    <d v="2024-11-20T00:00:00"/>
    <d v="2024-10-16T00:00:00"/>
    <s v="تم التسليم في الميعاد"/>
    <x v="2"/>
    <x v="2"/>
    <n v="0"/>
    <x v="0"/>
  </r>
  <r>
    <n v="55"/>
    <s v="Mohamed Ayman"/>
    <n v="1"/>
    <x v="14"/>
    <x v="0"/>
    <x v="2"/>
    <s v="4×1"/>
    <x v="1"/>
    <n v="21999"/>
    <s v="مسبق الدفع "/>
    <x v="16"/>
    <x v="16"/>
    <d v="2024-11-20T00:00:00"/>
    <d v="2024-10-19T00:00:00"/>
    <s v="تم التسليم في الميعاد"/>
    <x v="2"/>
    <x v="2"/>
    <n v="0"/>
    <x v="0"/>
  </r>
  <r>
    <n v="56"/>
    <s v="اسامه"/>
    <n v="1"/>
    <x v="8"/>
    <x v="0"/>
    <x v="1"/>
    <s v="2 ميكانزم"/>
    <x v="1"/>
    <n v="7849"/>
    <n v="6306"/>
    <x v="17"/>
    <x v="17"/>
    <d v="2024-10-30T00:00:00"/>
    <d v="2024-11-14T00:00:00"/>
    <s v="لم يتم التسليم في الميعاد"/>
    <x v="0"/>
    <x v="0"/>
    <n v="0"/>
    <x v="0"/>
  </r>
  <r>
    <n v="57"/>
    <s v="اوسكار راتن"/>
    <n v="0"/>
    <x v="15"/>
    <x v="4"/>
    <x v="0"/>
    <s v="دورين"/>
    <x v="0"/>
    <n v="5074"/>
    <s v="حساب شركه"/>
    <x v="18"/>
    <x v="18"/>
    <d v="2024-10-05T00:00:00"/>
    <d v="2024-10-12T00:00:00"/>
    <s v="لم يتم التسليم في الميعاد"/>
    <x v="0"/>
    <x v="2"/>
    <n v="0"/>
    <x v="0"/>
  </r>
  <r>
    <n v="58"/>
    <s v="تاكى"/>
    <n v="0"/>
    <x v="5"/>
    <x v="3"/>
    <x v="0"/>
    <s v="دورين"/>
    <x v="6"/>
    <n v="6250"/>
    <s v="حساب شركه"/>
    <x v="19"/>
    <x v="19"/>
    <d v="2024-10-08T00:00:00"/>
    <d v="2024-10-17T00:00:00"/>
    <s v="لم يتم التسليم في الميعاد"/>
    <x v="0"/>
    <x v="2"/>
    <n v="0"/>
    <x v="0"/>
  </r>
  <r>
    <n v="59"/>
    <s v="ولاء بدوى"/>
    <n v="1"/>
    <x v="5"/>
    <x v="0"/>
    <x v="0"/>
    <s v="فردى"/>
    <x v="0"/>
    <n v="8943"/>
    <n v="9033"/>
    <x v="20"/>
    <x v="20"/>
    <d v="2024-11-10T00:00:00"/>
    <d v="2024-10-10T00:00:00"/>
    <s v="تم التسليم في الميعاد"/>
    <x v="2"/>
    <x v="2"/>
    <n v="0"/>
    <x v="0"/>
  </r>
  <r>
    <n v="60"/>
    <s v="عبد الرحمن يسري"/>
    <n v="1"/>
    <x v="0"/>
    <x v="0"/>
    <x v="1"/>
    <s v="رف سحاب"/>
    <x v="1"/>
    <n v="8349"/>
    <n v="8433"/>
    <x v="20"/>
    <x v="20"/>
    <d v="2024-11-10T00:00:00"/>
    <d v="2024-11-15T00:00:00"/>
    <s v="لاغى"/>
    <x v="1"/>
    <x v="3"/>
    <n v="0"/>
    <x v="1"/>
  </r>
  <r>
    <n v="61"/>
    <s v="شيك هومز"/>
    <n v="0"/>
    <x v="4"/>
    <x v="1"/>
    <x v="2"/>
    <s v="4×1"/>
    <x v="1"/>
    <n v="14950"/>
    <s v="مسبق الدفع"/>
    <x v="20"/>
    <x v="20"/>
    <d v="2024-10-14T00:00:00"/>
    <d v="2024-10-13T00:00:00"/>
    <s v="تم التسليم في الميعاد"/>
    <x v="2"/>
    <x v="2"/>
    <n v="0"/>
    <x v="0"/>
  </r>
  <r>
    <n v="62"/>
    <s v="شيك هومز"/>
    <n v="0"/>
    <x v="0"/>
    <x v="1"/>
    <x v="0"/>
    <s v="دورين"/>
    <x v="1"/>
    <n v="9208"/>
    <n v="9608"/>
    <x v="20"/>
    <x v="20"/>
    <d v="2024-10-14T00:00:00"/>
    <d v="2024-10-20T00:00:00"/>
    <s v="لاغى"/>
    <x v="1"/>
    <x v="3"/>
    <n v="0"/>
    <x v="1"/>
  </r>
  <r>
    <n v="63"/>
    <s v="شيك هومز"/>
    <n v="0"/>
    <x v="0"/>
    <x v="1"/>
    <x v="0"/>
    <s v="فردى"/>
    <x v="0"/>
    <n v="7433"/>
    <s v="مسبق الدفع"/>
    <x v="21"/>
    <x v="21"/>
    <d v="2024-10-20T00:00:00"/>
    <d v="2024-10-21T00:00:00"/>
    <s v="لم يتم التسليم في الميعاد"/>
    <x v="0"/>
    <x v="2"/>
    <n v="0"/>
    <x v="0"/>
  </r>
  <r>
    <n v="64"/>
    <s v="اوسكار راتن"/>
    <n v="0"/>
    <x v="15"/>
    <x v="4"/>
    <x v="0"/>
    <s v="فردى"/>
    <x v="0"/>
    <n v="4020"/>
    <s v="حساب شركه"/>
    <x v="21"/>
    <x v="21"/>
    <d v="2024-10-12T00:00:00"/>
    <d v="2024-10-12T00:00:00"/>
    <s v="تم التسليم في الميعاد"/>
    <x v="2"/>
    <x v="2"/>
    <n v="0"/>
    <x v="0"/>
  </r>
  <r>
    <n v="65"/>
    <s v="الحج محمد السويس"/>
    <n v="0"/>
    <x v="16"/>
    <x v="5"/>
    <x v="0"/>
    <s v="دورين"/>
    <x v="7"/>
    <n v="8544.9054400000005"/>
    <n v="8544.9054400000005"/>
    <x v="22"/>
    <x v="22"/>
    <d v="2024-10-09T00:00:00"/>
    <d v="2024-10-09T00:00:00"/>
    <s v="تم التسليم في الميعاد"/>
    <x v="2"/>
    <x v="4"/>
    <n v="1"/>
    <x v="0"/>
  </r>
  <r>
    <n v="66"/>
    <s v="الحج محمد السويس"/>
    <n v="0"/>
    <x v="16"/>
    <x v="5"/>
    <x v="0"/>
    <s v="منطبق"/>
    <x v="1"/>
    <n v="4600"/>
    <n v="4600"/>
    <x v="22"/>
    <x v="22"/>
    <d v="2024-10-09T00:00:00"/>
    <d v="2024-10-09T00:00:00"/>
    <s v="تم التسليم في الميعاد"/>
    <x v="2"/>
    <x v="4"/>
    <n v="0"/>
    <x v="0"/>
  </r>
  <r>
    <n v="67"/>
    <s v="الحج محمد السويس"/>
    <n v="0"/>
    <x v="16"/>
    <x v="5"/>
    <x v="2"/>
    <s v="فينيسيا"/>
    <x v="1"/>
    <n v="10000"/>
    <n v="10000"/>
    <x v="22"/>
    <x v="22"/>
    <d v="2024-10-09T00:00:00"/>
    <d v="2024-10-09T00:00:00"/>
    <s v="تم التسليم في الميعاد"/>
    <x v="2"/>
    <x v="4"/>
    <n v="0"/>
    <x v="0"/>
  </r>
  <r>
    <n v="68"/>
    <s v="الحج محمد السويس"/>
    <n v="1"/>
    <x v="16"/>
    <x v="5"/>
    <x v="5"/>
    <s v="2 ميكانزم"/>
    <x v="1"/>
    <n v="10000"/>
    <n v="10000"/>
    <x v="22"/>
    <x v="22"/>
    <d v="2024-10-09T00:00:00"/>
    <d v="2024-10-09T00:00:00"/>
    <s v="تم التسليم في الميعاد"/>
    <x v="2"/>
    <x v="4"/>
    <n v="0"/>
    <x v="0"/>
  </r>
  <r>
    <n v="69"/>
    <s v="عمرو الأسود"/>
    <n v="1"/>
    <x v="5"/>
    <x v="0"/>
    <x v="0"/>
    <s v="منطبق"/>
    <x v="1"/>
    <n v="8899"/>
    <n v="8988"/>
    <x v="23"/>
    <x v="23"/>
    <d v="2024-11-17T00:00:00"/>
    <d v="2024-11-20T00:00:00"/>
    <s v="لاغى"/>
    <x v="1"/>
    <x v="3"/>
    <n v="0"/>
    <x v="1"/>
  </r>
  <r>
    <n v="70"/>
    <s v="شيك هومز"/>
    <n v="0"/>
    <x v="0"/>
    <x v="1"/>
    <x v="2"/>
    <s v="4×1"/>
    <x v="1"/>
    <n v="14550"/>
    <s v="مسبق الدفع"/>
    <x v="24"/>
    <x v="24"/>
    <d v="2024-10-29T00:00:00"/>
    <d v="2024-10-30T00:00:00"/>
    <s v="لم يتم التسليم في الميعاد"/>
    <x v="0"/>
    <x v="2"/>
    <n v="0"/>
    <x v="0"/>
  </r>
  <r>
    <n v="71"/>
    <s v="شيك هومز"/>
    <n v="0"/>
    <x v="0"/>
    <x v="1"/>
    <x v="2"/>
    <s v="4×1"/>
    <x v="1"/>
    <n v="14550"/>
    <s v="مسبق الدفع"/>
    <x v="25"/>
    <x v="25"/>
    <d v="2024-10-29T00:00:00"/>
    <d v="2024-10-15T00:00:00"/>
    <s v="تم التسليم في الميعاد"/>
    <x v="2"/>
    <x v="2"/>
    <n v="0"/>
    <x v="0"/>
  </r>
  <r>
    <n v="72"/>
    <s v="شيك هومز"/>
    <n v="0"/>
    <x v="0"/>
    <x v="1"/>
    <x v="2"/>
    <s v="4×1"/>
    <x v="1"/>
    <n v="14550"/>
    <n v="11495"/>
    <x v="26"/>
    <x v="26"/>
    <d v="2024-10-31T00:00:00"/>
    <d v="2024-11-02T00:00:00"/>
    <s v="لم يتم التسليم في الميعاد"/>
    <x v="0"/>
    <x v="2"/>
    <n v="0"/>
    <x v="0"/>
  </r>
  <r>
    <n v="73"/>
    <s v="keira"/>
    <n v="1"/>
    <x v="6"/>
    <x v="0"/>
    <x v="0"/>
    <s v="دورين"/>
    <x v="8"/>
    <n v="12899"/>
    <n v="13028"/>
    <x v="27"/>
    <x v="27"/>
    <d v="2024-12-17T00:00:00"/>
    <d v="2024-11-02T00:00:00"/>
    <s v="تم التسليم في الميعاد"/>
    <x v="2"/>
    <x v="2"/>
    <n v="0"/>
    <x v="0"/>
  </r>
  <r>
    <n v="74"/>
    <s v="tarek"/>
    <n v="1"/>
    <x v="6"/>
    <x v="0"/>
    <x v="0"/>
    <s v="دورين"/>
    <x v="0"/>
    <n v="10499"/>
    <s v="مسبق الدفع"/>
    <x v="28"/>
    <x v="28"/>
    <d v="2024-12-19T00:00:00"/>
    <d v="2024-10-21T00:00:00"/>
    <s v="تم التسليم في الميعاد"/>
    <x v="2"/>
    <x v="2"/>
    <n v="0"/>
    <x v="0"/>
  </r>
  <r>
    <n v="75"/>
    <s v="reem"/>
    <n v="1"/>
    <x v="1"/>
    <x v="0"/>
    <x v="0"/>
    <s v="دورين"/>
    <x v="8"/>
    <n v="12899"/>
    <s v="مسبق الدفع"/>
    <x v="29"/>
    <x v="29"/>
    <d v="2024-12-22T00:00:00"/>
    <d v="2024-12-03T00:00:00"/>
    <s v="تم التسليم في الميعاد"/>
    <x v="2"/>
    <x v="0"/>
    <n v="0"/>
    <x v="0"/>
  </r>
  <r>
    <n v="76"/>
    <s v="هشام سامى"/>
    <n v="1"/>
    <x v="17"/>
    <x v="6"/>
    <x v="0"/>
    <s v="فردى"/>
    <x v="9"/>
    <n v="5135"/>
    <s v="مسبق الدفع"/>
    <x v="30"/>
    <x v="30"/>
    <d v="2024-11-17T00:00:00"/>
    <d v="2024-11-14T00:00:00"/>
    <s v="تم التسليم في الميعاد"/>
    <x v="2"/>
    <x v="2"/>
    <n v="0"/>
    <x v="0"/>
  </r>
  <r>
    <n v="77"/>
    <s v="شيك هومز"/>
    <n v="0"/>
    <x v="0"/>
    <x v="1"/>
    <x v="0"/>
    <s v="دورين"/>
    <x v="7"/>
    <n v="12777.5"/>
    <n v="11277.5"/>
    <x v="31"/>
    <x v="31"/>
    <d v="2024-11-12T00:00:00"/>
    <d v="2024-11-18T00:00:00"/>
    <s v="لم يتم التسليم في الميعاد"/>
    <x v="0"/>
    <x v="2"/>
    <n v="0"/>
    <x v="0"/>
  </r>
  <r>
    <n v="78"/>
    <s v="اوسكار راتن"/>
    <n v="0"/>
    <x v="5"/>
    <x v="4"/>
    <x v="0"/>
    <s v="دورين"/>
    <x v="7"/>
    <n v="8544.91"/>
    <s v="حساب شركه"/>
    <x v="31"/>
    <x v="31"/>
    <d v="2024-11-02T00:00:00"/>
    <d v="2024-11-10T00:00:00"/>
    <s v="لاغى"/>
    <x v="1"/>
    <x v="3"/>
    <n v="0"/>
    <x v="1"/>
  </r>
  <r>
    <n v="79"/>
    <s v="فاطمه محمد"/>
    <n v="1"/>
    <x v="0"/>
    <x v="0"/>
    <x v="0"/>
    <s v="فردى"/>
    <x v="0"/>
    <n v="8943"/>
    <n v="9007.01"/>
    <x v="32"/>
    <x v="32"/>
    <d v="2024-11-14T00:00:00"/>
    <d v="2024-11-18T00:00:00"/>
    <s v="لم يتم التسليم في الميعاد"/>
    <x v="0"/>
    <x v="2"/>
    <n v="0"/>
    <x v="0"/>
  </r>
  <r>
    <n v="80"/>
    <s v="شيك هومز"/>
    <n v="0"/>
    <x v="0"/>
    <x v="1"/>
    <x v="2"/>
    <s v="4×1"/>
    <x v="1"/>
    <n v="15516"/>
    <s v="مسبق الدفع"/>
    <x v="33"/>
    <x v="33"/>
    <d v="2024-11-14T00:00:00"/>
    <d v="2024-10-30T00:00:00"/>
    <s v="تم التسليم في الميعاد"/>
    <x v="2"/>
    <x v="2"/>
    <n v="0"/>
    <x v="0"/>
  </r>
  <r>
    <n v="81"/>
    <s v="شيك هومز"/>
    <n v="0"/>
    <x v="0"/>
    <x v="1"/>
    <x v="0"/>
    <s v="دورين"/>
    <x v="1"/>
    <n v="10045"/>
    <n v="8879"/>
    <x v="34"/>
    <x v="34"/>
    <d v="2024-11-16T00:00:00"/>
    <d v="2024-11-19T00:00:00"/>
    <s v="لاغى"/>
    <x v="1"/>
    <x v="3"/>
    <n v="0"/>
    <x v="1"/>
  </r>
  <r>
    <n v="82"/>
    <s v="ساره"/>
    <n v="0"/>
    <x v="0"/>
    <x v="0"/>
    <x v="0"/>
    <s v="دورين"/>
    <x v="1"/>
    <n v="11649"/>
    <n v="11749"/>
    <x v="34"/>
    <x v="34"/>
    <d v="2024-11-10T00:00:00"/>
    <d v="2024-11-18T00:00:00"/>
    <s v="لم يتم التسليم في الميعاد"/>
    <x v="0"/>
    <x v="2"/>
    <n v="0"/>
    <x v="0"/>
  </r>
  <r>
    <n v="83"/>
    <s v="بولا هومزمارت"/>
    <n v="0"/>
    <x v="5"/>
    <x v="0"/>
    <x v="0"/>
    <s v="فردى"/>
    <x v="0"/>
    <n v="4800"/>
    <n v="4800"/>
    <x v="35"/>
    <x v="35"/>
    <d v="2024-11-11T00:00:00"/>
    <d v="2024-11-21T00:00:00"/>
    <s v="لم يتم التسليم في الميعاد"/>
    <x v="0"/>
    <x v="2"/>
    <n v="0"/>
    <x v="0"/>
  </r>
  <r>
    <n v="84"/>
    <s v="بولا هومزمارت"/>
    <n v="1"/>
    <x v="5"/>
    <x v="0"/>
    <x v="0"/>
    <s v="فردى"/>
    <x v="0"/>
    <n v="5000"/>
    <n v="4800"/>
    <x v="35"/>
    <x v="35"/>
    <d v="2024-11-11T00:00:00"/>
    <d v="2024-11-21T00:00:00"/>
    <s v="لم يتم التسليم في الميعاد"/>
    <x v="0"/>
    <x v="2"/>
    <n v="0"/>
    <x v="0"/>
  </r>
  <r>
    <n v="85"/>
    <s v="محمد شكرى"/>
    <n v="1"/>
    <x v="18"/>
    <x v="0"/>
    <x v="0"/>
    <s v="دورين"/>
    <x v="0"/>
    <n v="12099"/>
    <s v="مسبق الدفع"/>
    <x v="36"/>
    <x v="36"/>
    <d v="2024-11-26T00:00:00"/>
    <d v="2024-11-27T00:00:00"/>
    <s v="لم يتم التسليم في الميعاد"/>
    <x v="0"/>
    <x v="2"/>
    <n v="0"/>
    <x v="0"/>
  </r>
  <r>
    <n v="86"/>
    <s v="شيك هومز"/>
    <n v="0"/>
    <x v="19"/>
    <x v="1"/>
    <x v="2"/>
    <s v="4×1"/>
    <x v="1"/>
    <n v="15872"/>
    <s v="مسبق الدفع"/>
    <x v="37"/>
    <x v="37"/>
    <d v="2024-12-03T00:00:00"/>
    <d v="2024-11-14T00:00:00"/>
    <s v="تم التسليم في الميعاد"/>
    <x v="2"/>
    <x v="2"/>
    <n v="0"/>
    <x v="0"/>
  </r>
  <r>
    <n v="87"/>
    <s v="منزلى"/>
    <n v="1"/>
    <x v="4"/>
    <x v="6"/>
    <x v="0"/>
    <s v="فردى"/>
    <x v="0"/>
    <n v="4520"/>
    <s v="حساب شركه"/>
    <x v="38"/>
    <x v="38"/>
    <d v="2024-11-22T00:00:00"/>
    <d v="2024-11-21T00:00:00"/>
    <s v="تم التسليم في الميعاد"/>
    <x v="2"/>
    <x v="2"/>
    <n v="0"/>
    <x v="0"/>
  </r>
  <r>
    <n v="88"/>
    <s v="اوسكار راتن"/>
    <n v="0"/>
    <x v="15"/>
    <x v="4"/>
    <x v="0"/>
    <s v="دورين"/>
    <x v="1"/>
    <n v="5766"/>
    <s v="حساب شركه"/>
    <x v="39"/>
    <x v="39"/>
    <d v="2024-11-26T00:00:00"/>
    <d v="2024-11-25T00:00:00"/>
    <s v="تم التسليم في الميعاد"/>
    <x v="2"/>
    <x v="2"/>
    <n v="0"/>
    <x v="0"/>
  </r>
  <r>
    <n v="89"/>
    <s v="حماده"/>
    <n v="1"/>
    <x v="5"/>
    <x v="0"/>
    <x v="0"/>
    <s v="فردى"/>
    <x v="5"/>
    <n v="11395"/>
    <s v="مسبق الدفع"/>
    <x v="39"/>
    <x v="39"/>
    <d v="2024-11-24T00:00:00"/>
    <d v="2024-11-27T00:00:00"/>
    <s v="لم يتم التسليم في الميعاد"/>
    <x v="0"/>
    <x v="2"/>
    <n v="0"/>
    <x v="0"/>
  </r>
  <r>
    <n v="90"/>
    <s v="صفاء عبد الباقي"/>
    <n v="1"/>
    <x v="4"/>
    <x v="0"/>
    <x v="0"/>
    <s v="دورين"/>
    <x v="0"/>
    <n v="12919"/>
    <s v="مسبق الدفع"/>
    <x v="40"/>
    <x v="40"/>
    <d v="2024-11-30T00:00:00"/>
    <d v="2024-11-27T00:00:00"/>
    <s v="تم التسليم في الميعاد"/>
    <x v="2"/>
    <x v="2"/>
    <n v="0"/>
    <x v="0"/>
  </r>
  <r>
    <n v="91"/>
    <s v="اوسكار راتن"/>
    <n v="0"/>
    <x v="15"/>
    <x v="4"/>
    <x v="0"/>
    <s v="دورين"/>
    <x v="3"/>
    <n v="6376"/>
    <s v="حساب شركه"/>
    <x v="40"/>
    <x v="40"/>
    <d v="2024-11-27T00:00:00"/>
    <d v="2024-11-25T00:00:00"/>
    <s v="تم التسليم في الميعاد"/>
    <x v="2"/>
    <x v="2"/>
    <n v="0"/>
    <x v="0"/>
  </r>
  <r>
    <n v="92"/>
    <s v="اوسكار راتن"/>
    <n v="0"/>
    <x v="20"/>
    <x v="4"/>
    <x v="0"/>
    <s v="دورين"/>
    <x v="1"/>
    <n v="5294"/>
    <s v="حساب شركه"/>
    <x v="40"/>
    <x v="40"/>
    <d v="2024-11-27T00:00:00"/>
    <d v="2024-11-25T00:00:00"/>
    <s v="تم التسليم في الميعاد"/>
    <x v="2"/>
    <x v="2"/>
    <n v="0"/>
    <x v="0"/>
  </r>
  <r>
    <n v="93"/>
    <s v="رندا العامرى"/>
    <n v="1"/>
    <x v="0"/>
    <x v="7"/>
    <x v="0"/>
    <s v="دورين"/>
    <x v="0"/>
    <n v="7396"/>
    <s v="مسبق الدفع"/>
    <x v="41"/>
    <x v="41"/>
    <d v="2024-11-28T00:00:00"/>
    <d v="2024-11-26T00:00:00"/>
    <s v="تم التسليم في الميعاد"/>
    <x v="2"/>
    <x v="2"/>
    <n v="0"/>
    <x v="0"/>
  </r>
  <r>
    <n v="94"/>
    <s v="ساره"/>
    <n v="1"/>
    <x v="0"/>
    <x v="0"/>
    <x v="0"/>
    <s v="دورين"/>
    <x v="1"/>
    <n v="13439"/>
    <n v="13575"/>
    <x v="42"/>
    <x v="42"/>
    <d v="2024-12-05T00:00:00"/>
    <d v="2024-11-26T00:00:00"/>
    <s v="تم التسليم في الميعاد"/>
    <x v="2"/>
    <x v="2"/>
    <n v="0"/>
    <x v="0"/>
  </r>
  <r>
    <n v="95"/>
    <s v="تاكى"/>
    <n v="0"/>
    <x v="5"/>
    <x v="3"/>
    <x v="0"/>
    <s v="فردى"/>
    <x v="1"/>
    <n v="5100"/>
    <s v="حساب شركه"/>
    <x v="40"/>
    <x v="40"/>
    <d v="2024-12-08T00:00:00"/>
    <d v="2024-12-17T00:00:00"/>
    <s v="لم يتم التسليم في الميعاد"/>
    <x v="0"/>
    <x v="2"/>
    <n v="0"/>
    <x v="0"/>
  </r>
  <r>
    <n v="96"/>
    <s v="محمد حمدى"/>
    <n v="1"/>
    <x v="6"/>
    <x v="2"/>
    <x v="0"/>
    <s v="فردى"/>
    <x v="4"/>
    <n v="5700"/>
    <n v="5800"/>
    <x v="43"/>
    <x v="43"/>
    <d v="2024-12-02T00:00:00"/>
    <d v="2024-11-27T00:00:00"/>
    <s v="تم التسليم في الميعاد"/>
    <x v="2"/>
    <x v="2"/>
    <n v="0"/>
    <x v="0"/>
  </r>
  <r>
    <n v="97"/>
    <s v="بافلى هانى"/>
    <n v="1"/>
    <x v="5"/>
    <x v="0"/>
    <x v="0"/>
    <s v="فردى"/>
    <x v="3"/>
    <n v="10885"/>
    <n v="7965"/>
    <x v="44"/>
    <x v="44"/>
    <d v="2024-12-05T00:00:00"/>
    <d v="2024-12-10T00:00:00"/>
    <s v="لم يتم التسليم في الميعاد"/>
    <x v="0"/>
    <x v="2"/>
    <n v="0"/>
    <x v="0"/>
  </r>
  <r>
    <n v="98"/>
    <s v="تاكى"/>
    <n v="1"/>
    <x v="5"/>
    <x v="3"/>
    <x v="2"/>
    <s v="سحارة"/>
    <x v="1"/>
    <n v="6000"/>
    <n v="6000"/>
    <x v="45"/>
    <x v="45"/>
    <d v="2024-12-05T00:00:00"/>
    <d v="2024-11-20T00:00:00"/>
    <s v="تم التسليم في الميعاد"/>
    <x v="2"/>
    <x v="5"/>
    <n v="1"/>
    <x v="0"/>
  </r>
  <r>
    <n v="99"/>
    <s v="رنا ميلاد"/>
    <n v="1"/>
    <x v="1"/>
    <x v="0"/>
    <x v="1"/>
    <s v="2 ميكانزم"/>
    <x v="1"/>
    <n v="8449"/>
    <s v="مسبق الدفع"/>
    <x v="46"/>
    <x v="46"/>
    <d v="2024-12-10T00:00:00"/>
    <d v="2024-12-23T00:00:00"/>
    <s v="لم يتم التسليم في الميعاد"/>
    <x v="0"/>
    <x v="0"/>
    <n v="0"/>
    <x v="0"/>
  </r>
  <r>
    <n v="100"/>
    <s v="محمد ناجى"/>
    <n v="1"/>
    <x v="5"/>
    <x v="0"/>
    <x v="1"/>
    <s v="دورين"/>
    <x v="0"/>
    <n v="10249"/>
    <n v="6211"/>
    <x v="46"/>
    <x v="46"/>
    <d v="2024-12-10T00:00:00"/>
    <d v="2024-12-19T00:00:00"/>
    <s v="لم يتم التسليم في الميعاد"/>
    <x v="0"/>
    <x v="2"/>
    <n v="0"/>
    <x v="0"/>
  </r>
  <r>
    <n v="101"/>
    <s v="احمد عبد الستار"/>
    <n v="1"/>
    <x v="1"/>
    <x v="0"/>
    <x v="0"/>
    <s v="دورين"/>
    <x v="1"/>
    <n v="14905"/>
    <s v="مسبق الدفع"/>
    <x v="47"/>
    <x v="47"/>
    <d v="2024-12-15T00:00:00"/>
    <d v="2024-12-20T00:00:00"/>
    <s v="لاغى"/>
    <x v="1"/>
    <x v="6"/>
    <n v="1"/>
    <x v="1"/>
  </r>
  <r>
    <n v="102"/>
    <s v="نور"/>
    <n v="0"/>
    <x v="6"/>
    <x v="0"/>
    <x v="1"/>
    <s v="دورين"/>
    <x v="1"/>
    <n v="10249"/>
    <s v="مسبق الدفع"/>
    <x v="48"/>
    <x v="48"/>
    <d v="2024-12-12T00:00:00"/>
    <d v="2024-12-15T00:00:00"/>
    <s v="لاغى"/>
    <x v="1"/>
    <x v="3"/>
    <n v="0"/>
    <x v="1"/>
  </r>
  <r>
    <n v="103"/>
    <s v="نور"/>
    <n v="1"/>
    <x v="6"/>
    <x v="0"/>
    <x v="1"/>
    <s v="رف سحاب"/>
    <x v="1"/>
    <n v="9029"/>
    <s v="مسبق الدفع"/>
    <x v="48"/>
    <x v="48"/>
    <d v="2024-12-12T00:00:00"/>
    <d v="2024-12-15T00:00:00"/>
    <s v="لاغى"/>
    <x v="1"/>
    <x v="3"/>
    <n v="0"/>
    <x v="1"/>
  </r>
  <r>
    <n v="104"/>
    <s v="تامر"/>
    <n v="1"/>
    <x v="8"/>
    <x v="0"/>
    <x v="1"/>
    <s v="2 ميكانزم"/>
    <x v="1"/>
    <n v="9029"/>
    <s v="مسبق الدفع"/>
    <x v="48"/>
    <x v="48"/>
    <d v="2024-12-12T00:00:00"/>
    <d v="2024-12-26T00:00:00"/>
    <s v="لم يتم التسليم في الميعاد"/>
    <x v="0"/>
    <x v="0"/>
    <n v="0"/>
    <x v="0"/>
  </r>
  <r>
    <n v="105"/>
    <s v="هناء اسامه"/>
    <n v="1"/>
    <x v="9"/>
    <x v="0"/>
    <x v="0"/>
    <s v="دورين"/>
    <x v="0"/>
    <n v="12099"/>
    <s v="مسبق الدفع"/>
    <x v="49"/>
    <x v="49"/>
    <d v="2024-12-17T00:00:00"/>
    <d v="2024-12-20T00:00:00"/>
    <s v="لاغى"/>
    <x v="1"/>
    <x v="3"/>
    <n v="0"/>
    <x v="1"/>
  </r>
  <r>
    <n v="106"/>
    <s v="اوسكار راتن"/>
    <n v="1"/>
    <x v="15"/>
    <x v="4"/>
    <x v="0"/>
    <s v="دورين"/>
    <x v="2"/>
    <n v="5217"/>
    <s v="حساب شركه"/>
    <x v="50"/>
    <x v="50"/>
    <d v="2024-12-14T00:00:00"/>
    <d v="2024-12-10T00:00:00"/>
    <s v="تم التسليم في الميعاد"/>
    <x v="2"/>
    <x v="2"/>
    <n v="0"/>
    <x v="0"/>
  </r>
  <r>
    <n v="107"/>
    <s v="محمد عادل"/>
    <n v="1"/>
    <x v="12"/>
    <x v="0"/>
    <x v="0"/>
    <s v="منطبق"/>
    <x v="1"/>
    <n v="10249"/>
    <n v="6211"/>
    <x v="51"/>
    <x v="51"/>
    <d v="2024-12-14T00:00:00"/>
    <d v="2024-12-19T00:00:00"/>
    <s v="لم يتم التسليم في الميعاد"/>
    <x v="0"/>
    <x v="2"/>
    <n v="0"/>
    <x v="0"/>
  </r>
  <r>
    <n v="108"/>
    <s v="مريم عنان"/>
    <n v="1"/>
    <x v="4"/>
    <x v="1"/>
    <x v="0"/>
    <s v="دورين"/>
    <x v="1"/>
    <n v="10445"/>
    <n v="7707"/>
    <x v="52"/>
    <x v="52"/>
    <d v="2024-12-31T00:00:00"/>
    <d v="2024-12-12T00:00:00"/>
    <s v="تم التسليم في الميعاد"/>
    <x v="2"/>
    <x v="2"/>
    <n v="0"/>
    <x v="0"/>
  </r>
  <r>
    <n v="109"/>
    <s v="هبه عطيه"/>
    <n v="1"/>
    <x v="6"/>
    <x v="0"/>
    <x v="1"/>
    <s v="دورين"/>
    <x v="1"/>
    <n v="11199"/>
    <n v="11257"/>
    <x v="53"/>
    <x v="53"/>
    <d v="2024-12-24T00:00:00"/>
    <d v="2024-12-19T00:00:00"/>
    <s v="تم التسليم في الميعاد"/>
    <x v="2"/>
    <x v="2"/>
    <n v="0"/>
    <x v="0"/>
  </r>
  <r>
    <n v="110"/>
    <s v="حمدى ذكرى"/>
    <n v="1"/>
    <x v="0"/>
    <x v="0"/>
    <x v="0"/>
    <s v="دورين"/>
    <x v="1"/>
    <n v="13099"/>
    <n v="13231"/>
    <x v="53"/>
    <x v="53"/>
    <d v="2024-12-28T00:00:00"/>
    <d v="2024-12-29T00:00:00"/>
    <s v="لم يتم التسليم في الميعاد"/>
    <x v="0"/>
    <x v="2"/>
    <n v="0"/>
    <x v="0"/>
  </r>
  <r>
    <n v="111"/>
    <s v="شيك هومز"/>
    <n v="1"/>
    <x v="19"/>
    <x v="1"/>
    <x v="2"/>
    <s v="4×1"/>
    <x v="1"/>
    <n v="8700"/>
    <s v="حساب شركه"/>
    <x v="54"/>
    <x v="54"/>
    <d v="2025-01-05T00:00:00"/>
    <d v="2024-12-29T00:00:00"/>
    <s v="تم التسليم في الميعاد"/>
    <x v="2"/>
    <x v="2"/>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937304-9E4F-49BF-AAF8-927A7AD8BF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Y5:Z12" firstHeaderRow="1" firstDataRow="1" firstDataCol="1"/>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axis="axisRow"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pivotField showAll="0">
      <items count="11">
        <item x="0"/>
        <item x="2"/>
        <item x="1"/>
        <item x="6"/>
        <item x="5"/>
        <item x="8"/>
        <item x="4"/>
        <item x="3"/>
        <item x="7"/>
        <item x="9"/>
        <item t="default"/>
      </items>
    </pivotField>
    <pivotField dataField="1"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3"/>
    </i>
    <i>
      <x/>
    </i>
    <i>
      <x v="5"/>
    </i>
    <i>
      <x v="4"/>
    </i>
    <i>
      <x v="2"/>
    </i>
    <i>
      <x v="1"/>
    </i>
    <i t="grand">
      <x/>
    </i>
  </rowItems>
  <colItems count="1">
    <i/>
  </colItems>
  <dataFields count="1">
    <dataField name="Sum of Sale Price" fld="8" baseField="0" baseItem="0" numFmtId="1"/>
  </dataFields>
  <formats count="1">
    <format dxfId="208">
      <pivotArea outline="0" collapsedLevelsAreSubtotals="1" fieldPosition="0"/>
    </format>
  </formats>
  <chartFormats count="7">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3"/>
          </reference>
        </references>
      </pivotArea>
    </chartFormat>
    <chartFormat chart="15" format="4">
      <pivotArea type="data" outline="0" fieldPosition="0">
        <references count="2">
          <reference field="4294967294" count="1" selected="0">
            <x v="0"/>
          </reference>
          <reference field="5" count="1" selected="0">
            <x v="0"/>
          </reference>
        </references>
      </pivotArea>
    </chartFormat>
    <chartFormat chart="15" format="5">
      <pivotArea type="data" outline="0" fieldPosition="0">
        <references count="2">
          <reference field="4294967294" count="1" selected="0">
            <x v="0"/>
          </reference>
          <reference field="5" count="1" selected="0">
            <x v="5"/>
          </reference>
        </references>
      </pivotArea>
    </chartFormat>
    <chartFormat chart="15" format="6">
      <pivotArea type="data" outline="0" fieldPosition="0">
        <references count="2">
          <reference field="4294967294" count="1" selected="0">
            <x v="0"/>
          </reference>
          <reference field="5" count="1" selected="0">
            <x v="4"/>
          </reference>
        </references>
      </pivotArea>
    </chartFormat>
    <chartFormat chart="15" format="7">
      <pivotArea type="data" outline="0" fieldPosition="0">
        <references count="2">
          <reference field="4294967294" count="1" selected="0">
            <x v="0"/>
          </reference>
          <reference field="5" count="1" selected="0">
            <x v="2"/>
          </reference>
        </references>
      </pivotArea>
    </chartFormat>
    <chartFormat chart="15"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3FB0A1-28FF-4AA8-92B4-4A53E9D834A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W5:AX11" firstHeaderRow="1" firstDataRow="1" firstDataCol="1"/>
  <pivotFields count="23">
    <pivotField numFmtId="1" showAll="0"/>
    <pivotField showAll="0"/>
    <pivotField showAll="0"/>
    <pivotField axis="axisRow" showAll="0" measureFilter="1" sortType="descending">
      <items count="25">
        <item x="6"/>
        <item x="18"/>
        <item x="14"/>
        <item x="19"/>
        <item x="7"/>
        <item x="17"/>
        <item x="15"/>
        <item x="20"/>
        <item x="9"/>
        <item x="5"/>
        <item x="3"/>
        <item x="8"/>
        <item x="12"/>
        <item x="10"/>
        <item x="16"/>
        <item x="2"/>
        <item x="11"/>
        <item x="0"/>
        <item m="1" x="22"/>
        <item m="1" x="21"/>
        <item x="4"/>
        <item x="1"/>
        <item m="1" x="23"/>
        <item x="13"/>
        <item t="default"/>
      </items>
      <autoSortScope>
        <pivotArea dataOnly="0" outline="0" fieldPosition="0">
          <references count="1">
            <reference field="4294967294" count="1" selected="0">
              <x v="0"/>
            </reference>
          </references>
        </pivotArea>
      </autoSortScope>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dataField="1"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7"/>
    </i>
    <i>
      <x v="9"/>
    </i>
    <i>
      <x/>
    </i>
    <i>
      <x v="20"/>
    </i>
    <i>
      <x v="21"/>
    </i>
    <i t="grand">
      <x/>
    </i>
  </rowItems>
  <colItems count="1">
    <i/>
  </colItems>
  <dataFields count="1">
    <dataField name="Sum of Sale Price" fld="8" baseField="3" baseItem="20" numFmtId="165"/>
  </dataFields>
  <formats count="1">
    <format dxfId="209">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B19D81-AA3B-44EB-B496-7C3ACA5346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M6" firstHeaderRow="1" firstDataRow="1" firstDataCol="0"/>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dataField="1"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 Price" fld="8" subtotal="average" baseField="0" baseItem="0" numFmtId="1"/>
  </dataFields>
  <formats count="1">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C7467-C6F1-4CAC-AF3A-8F24045D49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K5:AL9" firstHeaderRow="1" firstDataRow="1" firstDataCol="1"/>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axis="axisRow" dataField="1" showAll="0">
      <items count="4">
        <item x="0"/>
        <item x="2"/>
        <item x="1"/>
        <item t="default"/>
      </items>
    </pivotField>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4">
    <i>
      <x/>
    </i>
    <i>
      <x v="1"/>
    </i>
    <i>
      <x v="2"/>
    </i>
    <i t="grand">
      <x/>
    </i>
  </rowItems>
  <colItems count="1">
    <i/>
  </colItems>
  <dataFields count="1">
    <dataField name="Count of Delivery Status" fld="15" subtotal="count" showDataAs="percentOfTotal" baseField="14" baseItem="2" numFmtId="9"/>
  </dataFields>
  <formats count="2">
    <format dxfId="212">
      <pivotArea outline="0" fieldPosition="0">
        <references count="1">
          <reference field="4294967294" count="1">
            <x v="0"/>
          </reference>
        </references>
      </pivotArea>
    </format>
    <format dxfId="21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A8ADF1-6B20-4161-9746-1D1433774A5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H5:BI10" firstHeaderRow="1" firstDataRow="1" firstDataCol="1"/>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axis="axisRow" showAll="0">
      <items count="8">
        <item h="1" x="6"/>
        <item x="4"/>
        <item x="0"/>
        <item x="5"/>
        <item x="2"/>
        <item h="1" x="1"/>
        <item h="1" x="3"/>
        <item t="default"/>
      </items>
    </pivotField>
    <pivotField dataField="1"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5">
    <i>
      <x v="1"/>
    </i>
    <i>
      <x v="2"/>
    </i>
    <i>
      <x v="3"/>
    </i>
    <i>
      <x v="4"/>
    </i>
    <i t="grand">
      <x/>
    </i>
  </rowItems>
  <colItems count="1">
    <i/>
  </colItems>
  <dataFields count="1">
    <dataField name="Sum of Number of Companies" fld="17" baseField="0" baseItem="0" numFmtId="1"/>
  </dataFields>
  <formats count="1">
    <format dxfId="2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2DE0B-584C-4AF5-8767-7814E2D2E9F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Q5:AR10" firstHeaderRow="1" firstDataRow="1" firstDataCol="1"/>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axis="axisRow" dataField="1" showAll="0">
      <items count="5">
        <item x="0"/>
        <item x="3"/>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5">
    <i>
      <x/>
    </i>
    <i>
      <x v="1"/>
    </i>
    <i>
      <x v="2"/>
    </i>
    <i>
      <x v="3"/>
    </i>
    <i t="grand">
      <x/>
    </i>
  </rowItems>
  <colItems count="1">
    <i/>
  </colItems>
  <dataFields count="1">
    <dataField name="Count of Status" fld="18" subtotal="count" showDataAs="percentOfTotal" baseField="17" baseItem="0" numFmtId="9"/>
  </dataFields>
  <formats count="2">
    <format dxfId="215">
      <pivotArea outline="0" fieldPosition="0">
        <references count="1">
          <reference field="4294967294" count="1">
            <x v="0"/>
          </reference>
        </references>
      </pivotArea>
    </format>
    <format dxfId="214">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8" count="1" selected="0">
            <x v="0"/>
          </reference>
        </references>
      </pivotArea>
    </chartFormat>
    <chartFormat chart="9" format="8">
      <pivotArea type="data" outline="0" fieldPosition="0">
        <references count="2">
          <reference field="4294967294" count="1" selected="0">
            <x v="0"/>
          </reference>
          <reference field="18" count="1" selected="0">
            <x v="1"/>
          </reference>
        </references>
      </pivotArea>
    </chartFormat>
    <chartFormat chart="9" format="9">
      <pivotArea type="data" outline="0" fieldPosition="0">
        <references count="2">
          <reference field="4294967294" count="1" selected="0">
            <x v="0"/>
          </reference>
          <reference field="18" count="1" selected="0">
            <x v="2"/>
          </reference>
        </references>
      </pivotArea>
    </chartFormat>
    <chartFormat chart="9" format="10">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4F76F8-0DEF-4094-A3C7-4715A864F8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5:T14" firstHeaderRow="1" firstDataRow="1" firstDataCol="1"/>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axis="axisRow" showAll="0" sortType="descending">
      <items count="9">
        <item x="0"/>
        <item x="6"/>
        <item x="7"/>
        <item x="2"/>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0"/>
        <item x="2"/>
        <item x="1"/>
        <item x="6"/>
        <item x="5"/>
        <item x="8"/>
        <item x="4"/>
        <item x="3"/>
        <item x="7"/>
        <item x="9"/>
        <item t="default"/>
      </items>
    </pivotField>
    <pivotField dataField="1"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4"/>
    </i>
    <i>
      <x v="5"/>
    </i>
    <i>
      <x v="6"/>
    </i>
    <i>
      <x v="7"/>
    </i>
    <i>
      <x v="3"/>
    </i>
    <i>
      <x v="1"/>
    </i>
    <i>
      <x v="2"/>
    </i>
    <i t="grand">
      <x/>
    </i>
  </rowItems>
  <colItems count="1">
    <i/>
  </colItems>
  <dataFields count="1">
    <dataField name="Sum of Sale Price" fld="8" baseField="0" baseItem="0" numFmtId="1"/>
  </dataFields>
  <formats count="1">
    <format dxfId="216">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12CF69-5FE8-4838-95A7-4A48AB09506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5:BF6" firstHeaderRow="1" firstDataRow="1" firstDataCol="0"/>
  <pivotFields count="23">
    <pivotField numFmtId="1" showAll="0"/>
    <pivotField showAll="0"/>
    <pivotField dataField="1"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umber of Customers" fld="2" baseField="0" baseItem="0" numFmtId="1"/>
  </dataFields>
  <formats count="1">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08A34A-FEB5-44C6-8717-DAA1DBF0C3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dataField="1"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 Price" fld="8" baseField="0" baseItem="0" numFmtId="165"/>
  </dataFields>
  <formats count="1">
    <format dxfId="2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7A4E92-DC20-444D-91A8-59BC25E2B28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23">
    <pivotField dataField="1"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showAll="0">
      <items count="11">
        <item x="0"/>
        <item x="2"/>
        <item x="1"/>
        <item x="6"/>
        <item x="5"/>
        <item x="8"/>
        <item x="4"/>
        <item x="3"/>
        <item x="7"/>
        <item x="9"/>
        <item t="default"/>
      </items>
    </pivotField>
    <pivotField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Number of Orders" fld="0" subtotal="count" baseField="0" baseItem="0"/>
  </dataFields>
  <formats count="1">
    <format dxfId="2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E1B105-6E10-4B40-81CD-A27F7C54CB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E5:AF16" firstHeaderRow="1" firstDataRow="1" firstDataCol="1"/>
  <pivotFields count="23">
    <pivotField numFmtId="1" showAll="0"/>
    <pivotField showAll="0"/>
    <pivotField showAll="0"/>
    <pivotField showAll="0">
      <items count="25">
        <item x="13"/>
        <item m="1" x="23"/>
        <item x="1"/>
        <item x="4"/>
        <item m="1" x="21"/>
        <item m="1" x="22"/>
        <item x="0"/>
        <item x="11"/>
        <item x="2"/>
        <item x="16"/>
        <item x="10"/>
        <item x="12"/>
        <item x="8"/>
        <item x="3"/>
        <item x="5"/>
        <item x="9"/>
        <item x="20"/>
        <item x="15"/>
        <item x="17"/>
        <item x="7"/>
        <item x="19"/>
        <item x="14"/>
        <item x="18"/>
        <item x="6"/>
        <item t="default"/>
      </items>
    </pivotField>
    <pivotField showAll="0">
      <items count="9">
        <item x="5"/>
        <item x="4"/>
        <item x="3"/>
        <item x="1"/>
        <item x="2"/>
        <item x="7"/>
        <item x="6"/>
        <item x="0"/>
        <item t="default"/>
      </items>
    </pivotField>
    <pivotField showAll="0"/>
    <pivotField showAll="0"/>
    <pivotField axis="axisRow" showAll="0" sortType="ascending">
      <items count="11">
        <item x="0"/>
        <item x="2"/>
        <item x="1"/>
        <item x="6"/>
        <item x="5"/>
        <item x="8"/>
        <item x="4"/>
        <item x="3"/>
        <item x="7"/>
        <item x="9"/>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4"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66" showAll="0">
      <items count="56">
        <item x="0"/>
        <item x="1"/>
        <item x="4"/>
        <item x="3"/>
        <item x="5"/>
        <item x="6"/>
        <item x="2"/>
        <item x="7"/>
        <item x="10"/>
        <item x="9"/>
        <item x="8"/>
        <item x="11"/>
        <item x="12"/>
        <item x="13"/>
        <item x="15"/>
        <item x="14"/>
        <item x="16"/>
        <item x="17"/>
        <item x="18"/>
        <item x="19"/>
        <item x="20"/>
        <item x="21"/>
        <item x="22"/>
        <item x="23"/>
        <item x="25"/>
        <item x="24"/>
        <item x="26"/>
        <item x="27"/>
        <item x="28"/>
        <item x="29"/>
        <item x="30"/>
        <item x="32"/>
        <item x="31"/>
        <item x="33"/>
        <item x="34"/>
        <item x="35"/>
        <item x="37"/>
        <item x="38"/>
        <item x="36"/>
        <item x="39"/>
        <item x="40"/>
        <item x="41"/>
        <item x="45"/>
        <item x="42"/>
        <item x="43"/>
        <item x="44"/>
        <item x="46"/>
        <item x="47"/>
        <item x="48"/>
        <item x="50"/>
        <item x="49"/>
        <item x="51"/>
        <item x="52"/>
        <item x="53"/>
        <item x="54"/>
        <item t="default"/>
      </items>
    </pivotField>
    <pivotField numFmtId="14" showAll="0"/>
    <pivotField numFmtId="14" showAll="0"/>
    <pivotField showAll="0"/>
    <pivotField showAll="0"/>
    <pivotField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9"/>
    </i>
    <i>
      <x v="3"/>
    </i>
    <i>
      <x v="6"/>
    </i>
    <i>
      <x v="4"/>
    </i>
    <i>
      <x v="5"/>
    </i>
    <i>
      <x v="1"/>
    </i>
    <i>
      <x v="8"/>
    </i>
    <i>
      <x v="7"/>
    </i>
    <i>
      <x/>
    </i>
    <i>
      <x v="2"/>
    </i>
    <i t="grand">
      <x/>
    </i>
  </rowItems>
  <colItems count="1">
    <i/>
  </colItems>
  <dataFields count="1">
    <dataField name="Sum of Sale Price" fld="8" baseField="0" baseItem="0" numFmtId="1"/>
  </dataFields>
  <formats count="1">
    <format dxfId="220">
      <pivotArea outline="0" collapsedLevelsAreSubtotals="1" fieldPosition="0"/>
    </format>
  </formats>
  <chartFormats count="11">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7" count="1" selected="0">
            <x v="0"/>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5" format="5">
      <pivotArea type="data" outline="0" fieldPosition="0">
        <references count="2">
          <reference field="4294967294" count="1" selected="0">
            <x v="0"/>
          </reference>
          <reference field="7" count="1" selected="0">
            <x v="7"/>
          </reference>
        </references>
      </pivotArea>
    </chartFormat>
    <chartFormat chart="5" format="6">
      <pivotArea type="data" outline="0" fieldPosition="0">
        <references count="2">
          <reference field="4294967294" count="1" selected="0">
            <x v="0"/>
          </reference>
          <reference field="7" count="1" selected="0">
            <x v="8"/>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5"/>
          </reference>
        </references>
      </pivotArea>
    </chartFormat>
    <chartFormat chart="5" format="9">
      <pivotArea type="data" outline="0" fieldPosition="0">
        <references count="2">
          <reference field="4294967294" count="1" selected="0">
            <x v="0"/>
          </reference>
          <reference field="7" count="1" selected="0">
            <x v="4"/>
          </reference>
        </references>
      </pivotArea>
    </chartFormat>
    <chartFormat chart="5" format="10">
      <pivotArea type="data" outline="0" fieldPosition="0">
        <references count="2">
          <reference field="4294967294" count="1" selected="0">
            <x v="0"/>
          </reference>
          <reference field="7" count="1" selected="0">
            <x v="6"/>
          </reference>
        </references>
      </pivotArea>
    </chartFormat>
    <chartFormat chart="5" format="11">
      <pivotArea type="data" outline="0" fieldPosition="0">
        <references count="2">
          <reference field="4294967294" count="1" selected="0">
            <x v="0"/>
          </reference>
          <reference field="7" count="1" selected="0">
            <x v="3"/>
          </reference>
        </references>
      </pivotArea>
    </chartFormat>
    <chartFormat chart="5" format="1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EB1CDA-73E5-4EE4-92C6-D435E13EB450}" autoFormatId="16" applyNumberFormats="0" applyBorderFormats="0" applyFontFormats="0" applyPatternFormats="0" applyAlignmentFormats="0" applyWidthHeightFormats="0">
  <queryTableRefresh nextId="20">
    <queryTableFields count="19">
      <queryTableField id="1" name="Number of Orders" tableColumnId="1"/>
      <queryTableField id="2" name="Custom Name" tableColumnId="2"/>
      <queryTableField id="3" name="Number of Customers" tableColumnId="3"/>
      <queryTableField id="4" name="City" tableColumnId="4"/>
      <queryTableField id="5" name="Sales Platform" tableColumnId="5"/>
      <queryTableField id="6" name="Product" tableColumnId="6"/>
      <queryTableField id="7" name="Product Description" tableColumnId="7"/>
      <queryTableField id="8" name="Metal Color" tableColumnId="8"/>
      <queryTableField id="9" name="Sale Price" tableColumnId="9"/>
      <queryTableField id="10" name="Payment Method" tableColumnId="10"/>
      <queryTableField id="11" name="Order Date" tableColumnId="11"/>
      <queryTableField id="12" name="Order Date Month" tableColumnId="12"/>
      <queryTableField id="13" name="Delivery Date" tableColumnId="13"/>
      <queryTableField id="14" name="Date of Delivery" tableColumnId="14"/>
      <queryTableField id="15" name="On-Time Delivery" tableColumnId="15"/>
      <queryTableField id="16" name="Delivery Status" tableColumnId="16"/>
      <queryTableField id="17" name="Person Responsible for Delivery" tableColumnId="17"/>
      <queryTableField id="18" name="Number of Companies" tableColumnId="18"/>
      <queryTableField id="19" name="Statu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8EE6C36-A063-429A-AD65-197F0D4BB306}" sourceName="Months (Order Date)">
  <pivotTables>
    <pivotTable tabId="13" name="PivotTable7"/>
    <pivotTable tabId="13" name="PivotTable1"/>
    <pivotTable tabId="13" name="PivotTable10"/>
    <pivotTable tabId="13" name="PivotTable11"/>
    <pivotTable tabId="13" name="PivotTable2"/>
    <pivotTable tabId="13" name="PivotTable3"/>
    <pivotTable tabId="13" name="PivotTable4"/>
    <pivotTable tabId="13" name="PivotTable5"/>
    <pivotTable tabId="13" name="PivotTable6"/>
    <pivotTable tabId="13" name="PivotTable8"/>
    <pivotTable tabId="13" name="PivotTable9"/>
  </pivotTables>
  <data>
    <tabular pivotCacheId="21779399">
      <items count="14">
        <i x="7" s="1"/>
        <i x="8" s="1"/>
        <i x="9" s="1"/>
        <i x="10" s="1"/>
        <i x="11" s="1"/>
        <i x="12" s="1"/>
        <i x="1" s="1" nd="1"/>
        <i x="2" s="1" nd="1"/>
        <i x="3" s="1" nd="1"/>
        <i x="4" s="1" nd="1"/>
        <i x="5" s="1" nd="1"/>
        <i x="6"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latform" xr10:uid="{DDC3CFF1-B256-45D5-A811-C623ABEAE03D}" sourceName="Sales Platform">
  <pivotTables>
    <pivotTable tabId="13" name="PivotTable6"/>
    <pivotTable tabId="13" name="PivotTable1"/>
    <pivotTable tabId="13" name="PivotTable10"/>
    <pivotTable tabId="13" name="PivotTable11"/>
    <pivotTable tabId="13" name="PivotTable2"/>
    <pivotTable tabId="13" name="PivotTable3"/>
    <pivotTable tabId="13" name="PivotTable4"/>
    <pivotTable tabId="13" name="PivotTable5"/>
    <pivotTable tabId="13" name="PivotTable7"/>
    <pivotTable tabId="13" name="PivotTable8"/>
    <pivotTable tabId="13" name="PivotTable9"/>
  </pivotTables>
  <data>
    <tabular pivotCacheId="21779399">
      <items count="8">
        <i x="5" s="1"/>
        <i x="4" s="1"/>
        <i x="3" s="1"/>
        <i x="1" s="1"/>
        <i x="2" s="1"/>
        <i x="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399B64B-B758-4831-A93A-65B46167A7BB}" sourceName="City">
  <pivotTables>
    <pivotTable tabId="13" name="PivotTable6"/>
    <pivotTable tabId="13" name="PivotTable1"/>
    <pivotTable tabId="13" name="PivotTable10"/>
    <pivotTable tabId="13" name="PivotTable11"/>
    <pivotTable tabId="13" name="PivotTable2"/>
    <pivotTable tabId="13" name="PivotTable3"/>
    <pivotTable tabId="13" name="PivotTable4"/>
    <pivotTable tabId="13" name="PivotTable5"/>
    <pivotTable tabId="13" name="PivotTable7"/>
    <pivotTable tabId="13" name="PivotTable8"/>
    <pivotTable tabId="13" name="PivotTable9"/>
  </pivotTables>
  <data>
    <tabular pivotCacheId="21779399">
      <items count="24">
        <i x="13" s="1"/>
        <i x="1" s="1"/>
        <i x="4" s="1"/>
        <i x="0" s="1"/>
        <i x="11" s="1"/>
        <i x="2" s="1"/>
        <i x="16" s="1"/>
        <i x="10" s="1"/>
        <i x="12" s="1"/>
        <i x="8" s="1"/>
        <i x="3" s="1"/>
        <i x="5" s="1"/>
        <i x="9" s="1"/>
        <i x="20" s="1"/>
        <i x="15" s="1"/>
        <i x="17" s="1"/>
        <i x="7" s="1"/>
        <i x="19" s="1"/>
        <i x="14" s="1"/>
        <i x="18" s="1"/>
        <i x="6" s="1"/>
        <i x="23" s="1" nd="1"/>
        <i x="21" s="1" nd="1"/>
        <i x="2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al_Color" xr10:uid="{B4CD4A35-DCE2-485D-9512-A05997B6E80A}" sourceName="Metal Color">
  <pivotTables>
    <pivotTable tabId="13" name="PivotTable6"/>
    <pivotTable tabId="13" name="PivotTable1"/>
    <pivotTable tabId="13" name="PivotTable10"/>
    <pivotTable tabId="13" name="PivotTable11"/>
    <pivotTable tabId="13" name="PivotTable2"/>
    <pivotTable tabId="13" name="PivotTable3"/>
    <pivotTable tabId="13" name="PivotTable4"/>
    <pivotTable tabId="13" name="PivotTable5"/>
    <pivotTable tabId="13" name="PivotTable7"/>
    <pivotTable tabId="13" name="PivotTable8"/>
    <pivotTable tabId="13" name="PivotTable9"/>
  </pivotTables>
  <data>
    <tabular pivotCacheId="21779399">
      <items count="10">
        <i x="0" s="1"/>
        <i x="2" s="1"/>
        <i x="1" s="1"/>
        <i x="6" s="1"/>
        <i x="5" s="1"/>
        <i x="8" s="1"/>
        <i x="4" s="1"/>
        <i x="3"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5610816-11DA-4A09-A9DB-1B5E6C93B70E}" cache="Slicer_Months__Order_Date" caption="Months (Order Date)" columnCount="6" style="Slicer Style 1" rowHeight="108000"/>
  <slicer name="Sales Platform" xr10:uid="{06E89ECB-5B7C-499B-A523-758C485F31D9}" cache="Slicer_Sales_Platform" caption="Sales Platform" columnCount="2" style="Slicer Style 1" rowHeight="180000"/>
  <slicer name="City" xr10:uid="{42040F77-939D-41E3-87C6-0A8C16D739CE}" cache="Slicer_City" caption="City" columnCount="2" style="Slicer Style 1" rowHeight="252000"/>
  <slicer name="Metal Color" xr10:uid="{08D46829-1003-453D-8AD9-7A6A2A3DA701}" cache="Slicer_Metal_Color" caption="Metal Color" columnCount="2" style="Slicer Style 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F1E5BB-6128-4BAB-9A82-2E72FBEF9FD2}" name="Table" displayName="Table" ref="A1:S112" tableType="queryTable" totalsRowShown="0" headerRowDxfId="257">
  <autoFilter ref="A1:S112" xr:uid="{53F1E5BB-6128-4BAB-9A82-2E72FBEF9FD2}"/>
  <tableColumns count="19">
    <tableColumn id="1" xr3:uid="{B0A8858A-A4A3-4946-A5EE-A8941B7B5EE0}" uniqueName="1" name="Number of Orders" queryTableFieldId="1" dataDxfId="256"/>
    <tableColumn id="2" xr3:uid="{26567848-5828-4BAE-86E9-DC3DA5B8253C}" uniqueName="2" name="Custom Name" queryTableFieldId="2" dataDxfId="255"/>
    <tableColumn id="3" xr3:uid="{FD1A2F29-9191-4D7B-A6F6-10CE15F7E598}" uniqueName="3" name="Number of Customers" queryTableFieldId="3" dataDxfId="254"/>
    <tableColumn id="4" xr3:uid="{B9DFB071-FC7F-4517-9392-B4E416D12915}" uniqueName="4" name="City" queryTableFieldId="4" dataDxfId="253"/>
    <tableColumn id="5" xr3:uid="{5A1AD040-EBF9-465D-8678-0B452384F4BA}" uniqueName="5" name="Sales Platform" queryTableFieldId="5" dataDxfId="252"/>
    <tableColumn id="6" xr3:uid="{BE766EBD-CF97-4D8D-BC4E-EE79012848BF}" uniqueName="6" name="Product" queryTableFieldId="6" dataDxfId="251"/>
    <tableColumn id="7" xr3:uid="{BEED8387-76A0-402A-862B-7D33569229FD}" uniqueName="7" name="Product Description" queryTableFieldId="7" dataDxfId="250"/>
    <tableColumn id="8" xr3:uid="{BBA81B2B-927D-48EC-B9A7-107FA32C324F}" uniqueName="8" name="Metal Color" queryTableFieldId="8" dataDxfId="249"/>
    <tableColumn id="9" xr3:uid="{93A4A856-1CA8-4183-A0DA-04B5047C4014}" uniqueName="9" name="Sale Price" queryTableFieldId="9" dataDxfId="248"/>
    <tableColumn id="10" xr3:uid="{EAE07801-BABF-402A-97C4-3D8223C1B184}" uniqueName="10" name="Payment Method" queryTableFieldId="10"/>
    <tableColumn id="11" xr3:uid="{01FD6A6A-93F8-4646-B580-8A7D1FF4009F}" uniqueName="11" name="Order Date" queryTableFieldId="11" dataDxfId="247"/>
    <tableColumn id="12" xr3:uid="{B9357AD0-D4E0-433C-9BF4-6924ACB296CA}" uniqueName="12" name="Order Date Month" queryTableFieldId="12" dataDxfId="246"/>
    <tableColumn id="13" xr3:uid="{105A5AB4-5BF2-465F-A7B9-DD39CE329328}" uniqueName="13" name="Delivery Date" queryTableFieldId="13" dataDxfId="245"/>
    <tableColumn id="14" xr3:uid="{E8E4CA1B-FEE5-4D16-A403-CFF50BEDC48E}" uniqueName="14" name="Date of Delivery" queryTableFieldId="14" dataDxfId="244"/>
    <tableColumn id="15" xr3:uid="{0223B673-D74A-471F-BFF0-D4FA1EA2AC57}" uniqueName="15" name="On-Time Delivery" queryTableFieldId="15" dataDxfId="243"/>
    <tableColumn id="16" xr3:uid="{D163FA70-3E34-4419-BD47-E16DED5C567A}" uniqueName="16" name="Delivery Status" queryTableFieldId="16" dataDxfId="242"/>
    <tableColumn id="17" xr3:uid="{067C1447-032B-4955-8384-B325FB89A3F3}" uniqueName="17" name="Person Responsible for Delivery" queryTableFieldId="17" dataDxfId="241"/>
    <tableColumn id="18" xr3:uid="{A369C067-9105-4A10-AC24-F1B4766294E8}" uniqueName="18" name="Number of Companies" queryTableFieldId="18" dataDxfId="240"/>
    <tableColumn id="19" xr3:uid="{8A13DC59-C793-4D10-97B8-999AA9DBF55C}" uniqueName="19" name="Status" queryTableFieldId="19" dataDxfId="239"/>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1C5D61-4DA1-4D90-9DFA-10D87BD06953}" name="Table1" displayName="Table1" ref="A1:N112" totalsRowShown="0" headerRowDxfId="238" dataDxfId="236" headerRowBorderDxfId="237" tableBorderDxfId="235">
  <autoFilter ref="A1:N112" xr:uid="{AE1C5D61-4DA1-4D90-9DFA-10D87BD06953}"/>
  <tableColumns count="14">
    <tableColumn id="1" xr3:uid="{FEE1D5D4-E4E4-41D7-B520-D49826E04D9B}" name="رقم الصف" dataDxfId="234"/>
    <tableColumn id="2" xr3:uid="{FD392184-9686-4FA4-A6D7-2E1AC8D15A02}" name="اسم العميل" dataDxfId="233"/>
    <tableColumn id="3" xr3:uid="{87A31337-243A-4D75-BA9F-6C25A195B2CA}" name="العنوان" dataDxfId="232"/>
    <tableColumn id="4" xr3:uid="{5D4579FC-62AD-4862-A43B-E0CD0EFD0E05}" name="منصة البيع " dataDxfId="231"/>
    <tableColumn id="5" xr3:uid="{3D59D9F0-67B8-402F-8C0F-CB1A271CD32A}" name="المنتج" dataDxfId="230"/>
    <tableColumn id="6" xr3:uid="{025400EB-6FB1-4DF4-8591-229405A2A32F}" name="وصف المنتج" dataDxfId="229"/>
    <tableColumn id="7" xr3:uid="{EA776EBF-012B-474D-A9D3-EBE63568BA8C}" name="اللون المعدن" dataDxfId="228"/>
    <tableColumn id="8" xr3:uid="{1CB12327-9C93-46A6-B094-356F9D001C2C}" name="سعر البيع " dataDxfId="227"/>
    <tableColumn id="9" xr3:uid="{DD285BC2-A5E7-4BD7-ABC1-5C6AB59D027D}" name="طريقه الدفع " dataDxfId="226"/>
    <tableColumn id="10" xr3:uid="{EDBBBFDE-10AB-4393-B3D6-BB9A57DE9819}" name="ميعاد الطلب" dataDxfId="225"/>
    <tableColumn id="11" xr3:uid="{C6A4D114-5892-4195-856E-BE72EF043D23}" name="ميعاد التسليم" dataDxfId="224"/>
    <tableColumn id="12" xr3:uid="{A6A6165A-369F-42C4-8A96-F7C748070439}" name="تاريخ التسليم" dataDxfId="223"/>
    <tableColumn id="13" xr3:uid="{28326721-CE04-4B03-93E3-C4B74074B658}" name="المسئول عن التسليم" dataDxfId="222"/>
    <tableColumn id="14" xr3:uid="{8684CD4C-1B3C-45A9-8A26-A04AB0C42713}" name="الحالة" dataDxfId="221"/>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sheetPr codeName="Sheet1"/>
  <dimension ref="A1:B16"/>
  <sheetViews>
    <sheetView showGridLines="0" rightToLeft="1" workbookViewId="0">
      <selection activeCell="N8" sqref="N8"/>
    </sheetView>
  </sheetViews>
  <sheetFormatPr defaultRowHeight="14.4" x14ac:dyDescent="0.3"/>
  <cols>
    <col min="2" max="2" width="41.88671875" customWidth="1"/>
  </cols>
  <sheetData>
    <row r="1" spans="1:2" x14ac:dyDescent="0.3">
      <c r="A1" s="7"/>
      <c r="B1" s="7"/>
    </row>
    <row r="2" spans="1:2" x14ac:dyDescent="0.3">
      <c r="A2" s="7"/>
      <c r="B2" s="7"/>
    </row>
    <row r="3" spans="1:2" s="5" customFormat="1" ht="24.6" x14ac:dyDescent="0.4">
      <c r="A3" s="5" t="s">
        <v>182</v>
      </c>
    </row>
    <row r="4" spans="1:2" s="6" customFormat="1" ht="18" x14ac:dyDescent="0.35">
      <c r="A4" s="9" t="s">
        <v>175</v>
      </c>
      <c r="B4" s="9"/>
    </row>
    <row r="5" spans="1:2" s="2" customFormat="1" x14ac:dyDescent="0.3">
      <c r="A5" s="10"/>
      <c r="B5" s="10"/>
    </row>
    <row r="6" spans="1:2" s="4" customFormat="1" ht="17.399999999999999" x14ac:dyDescent="0.3">
      <c r="A6" s="4" t="s">
        <v>181</v>
      </c>
    </row>
    <row r="7" spans="1:2" s="3" customFormat="1" ht="15.6" x14ac:dyDescent="0.3">
      <c r="A7" s="11" t="s">
        <v>176</v>
      </c>
      <c r="B7" s="8"/>
    </row>
    <row r="8" spans="1:2" s="3" customFormat="1" ht="15.6" x14ac:dyDescent="0.3">
      <c r="A8" s="8" t="s">
        <v>177</v>
      </c>
      <c r="B8" s="8"/>
    </row>
    <row r="9" spans="1:2" s="3" customFormat="1" ht="15.6" x14ac:dyDescent="0.3">
      <c r="A9" s="8" t="s">
        <v>178</v>
      </c>
      <c r="B9" s="8"/>
    </row>
    <row r="10" spans="1:2" s="3" customFormat="1" ht="15.6" x14ac:dyDescent="0.3">
      <c r="A10" s="8" t="s">
        <v>179</v>
      </c>
      <c r="B10" s="8"/>
    </row>
    <row r="11" spans="1:2" s="8" customFormat="1" ht="15.6" x14ac:dyDescent="0.3">
      <c r="A11" s="8" t="s">
        <v>183</v>
      </c>
    </row>
    <row r="12" spans="1:2" s="3" customFormat="1" ht="15.6" x14ac:dyDescent="0.3">
      <c r="A12" s="8" t="s">
        <v>184</v>
      </c>
      <c r="B12" s="8"/>
    </row>
    <row r="13" spans="1:2" s="3" customFormat="1" ht="15.6" x14ac:dyDescent="0.3">
      <c r="A13" s="8" t="s">
        <v>180</v>
      </c>
      <c r="B13" s="8"/>
    </row>
    <row r="14" spans="1:2" s="3" customFormat="1" ht="15.6" x14ac:dyDescent="0.3">
      <c r="A14" s="8" t="s">
        <v>187</v>
      </c>
      <c r="B14" s="8"/>
    </row>
    <row r="15" spans="1:2" s="3" customFormat="1" ht="15.6" x14ac:dyDescent="0.3">
      <c r="A15" s="8" t="s">
        <v>185</v>
      </c>
      <c r="B15" s="8"/>
    </row>
    <row r="16" spans="1:2" ht="15.6" x14ac:dyDescent="0.3">
      <c r="A16" s="8"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4EF1-773E-4110-A6C2-7CEC4BF58C95}">
  <sheetPr codeName="Sheet2"/>
  <dimension ref="A1:S112"/>
  <sheetViews>
    <sheetView zoomScaleNormal="100" workbookViewId="0"/>
  </sheetViews>
  <sheetFormatPr defaultRowHeight="14.4" x14ac:dyDescent="0.3"/>
  <cols>
    <col min="1" max="1" width="20.6640625" bestFit="1" customWidth="1"/>
    <col min="2" max="2" width="17.33203125" bestFit="1" customWidth="1"/>
    <col min="3" max="3" width="24.109375" bestFit="1" customWidth="1"/>
    <col min="4" max="4" width="17.21875" bestFit="1" customWidth="1"/>
    <col min="5" max="5" width="17.5546875" bestFit="1" customWidth="1"/>
    <col min="6" max="6" width="12.109375" bestFit="1" customWidth="1"/>
    <col min="7" max="7" width="22.21875" bestFit="1" customWidth="1"/>
    <col min="8" max="8" width="15.21875" bestFit="1" customWidth="1"/>
    <col min="9" max="9" width="13.44140625" bestFit="1" customWidth="1"/>
    <col min="10" max="10" width="20.33203125" bestFit="1" customWidth="1"/>
    <col min="11" max="11" width="14.5546875" bestFit="1" customWidth="1"/>
    <col min="12" max="12" width="20.88671875" bestFit="1" customWidth="1"/>
    <col min="13" max="13" width="16.5546875" bestFit="1" customWidth="1"/>
    <col min="14" max="14" width="18.88671875" bestFit="1" customWidth="1"/>
    <col min="15" max="15" width="20" bestFit="1" customWidth="1"/>
    <col min="16" max="16" width="18" bestFit="1" customWidth="1"/>
    <col min="17" max="17" width="32.21875" bestFit="1" customWidth="1"/>
    <col min="18" max="18" width="24.5546875" bestFit="1" customWidth="1"/>
    <col min="19" max="19" width="10.6640625" bestFit="1" customWidth="1"/>
  </cols>
  <sheetData>
    <row r="1" spans="1:19" x14ac:dyDescent="0.3">
      <c r="A1" s="60" t="s">
        <v>265</v>
      </c>
      <c r="B1" s="60" t="s">
        <v>266</v>
      </c>
      <c r="C1" s="60" t="s">
        <v>282</v>
      </c>
      <c r="D1" s="60" t="s">
        <v>267</v>
      </c>
      <c r="E1" s="60" t="s">
        <v>268</v>
      </c>
      <c r="F1" s="60" t="s">
        <v>269</v>
      </c>
      <c r="G1" s="60" t="s">
        <v>270</v>
      </c>
      <c r="H1" s="60" t="s">
        <v>271</v>
      </c>
      <c r="I1" s="60" t="s">
        <v>272</v>
      </c>
      <c r="J1" s="60" t="s">
        <v>273</v>
      </c>
      <c r="K1" s="60" t="s">
        <v>274</v>
      </c>
      <c r="L1" s="60" t="s">
        <v>294</v>
      </c>
      <c r="M1" s="60" t="s">
        <v>275</v>
      </c>
      <c r="N1" s="60" t="s">
        <v>276</v>
      </c>
      <c r="O1" s="60" t="s">
        <v>277</v>
      </c>
      <c r="P1" s="60" t="s">
        <v>278</v>
      </c>
      <c r="Q1" s="60" t="s">
        <v>279</v>
      </c>
      <c r="R1" s="60" t="s">
        <v>280</v>
      </c>
      <c r="S1" s="60" t="s">
        <v>281</v>
      </c>
    </row>
    <row r="2" spans="1:19" x14ac:dyDescent="0.3">
      <c r="A2" s="50">
        <v>1</v>
      </c>
      <c r="B2" s="48" t="s">
        <v>208</v>
      </c>
      <c r="C2" s="50">
        <v>1</v>
      </c>
      <c r="D2" s="48" t="s">
        <v>264</v>
      </c>
      <c r="E2" s="48" t="s">
        <v>5</v>
      </c>
      <c r="F2" s="48" t="s">
        <v>84</v>
      </c>
      <c r="G2" s="48" t="s">
        <v>85</v>
      </c>
      <c r="H2" s="48" t="s">
        <v>94</v>
      </c>
      <c r="I2" s="50">
        <v>10160</v>
      </c>
      <c r="J2" t="s">
        <v>11</v>
      </c>
      <c r="K2" s="56">
        <v>45500</v>
      </c>
      <c r="L2" s="61">
        <v>45500</v>
      </c>
      <c r="M2" s="56">
        <v>45511</v>
      </c>
      <c r="N2" s="56">
        <v>45514</v>
      </c>
      <c r="O2" s="48" t="s">
        <v>255</v>
      </c>
      <c r="P2" s="48" t="s">
        <v>261</v>
      </c>
      <c r="Q2" s="48" t="s">
        <v>209</v>
      </c>
      <c r="R2" s="50">
        <v>1</v>
      </c>
      <c r="S2" s="48" t="s">
        <v>111</v>
      </c>
    </row>
    <row r="3" spans="1:19" x14ac:dyDescent="0.3">
      <c r="A3" s="50">
        <v>2</v>
      </c>
      <c r="B3" s="48" t="s">
        <v>12</v>
      </c>
      <c r="C3" s="50">
        <v>1</v>
      </c>
      <c r="D3" s="48" t="s">
        <v>210</v>
      </c>
      <c r="E3" s="48" t="s">
        <v>5</v>
      </c>
      <c r="F3" s="48" t="s">
        <v>84</v>
      </c>
      <c r="G3" s="48" t="s">
        <v>85</v>
      </c>
      <c r="H3" s="48" t="s">
        <v>95</v>
      </c>
      <c r="I3" s="50">
        <v>10160</v>
      </c>
      <c r="J3">
        <v>9749</v>
      </c>
      <c r="K3" s="56">
        <v>45501</v>
      </c>
      <c r="L3" s="61">
        <v>45501</v>
      </c>
      <c r="M3" s="56">
        <v>45512</v>
      </c>
      <c r="N3" s="56">
        <v>45515</v>
      </c>
      <c r="O3" s="48" t="s">
        <v>255</v>
      </c>
      <c r="P3" s="48" t="s">
        <v>261</v>
      </c>
      <c r="Q3" s="48" t="s">
        <v>209</v>
      </c>
      <c r="R3" s="50">
        <v>0</v>
      </c>
      <c r="S3" s="48" t="s">
        <v>111</v>
      </c>
    </row>
    <row r="4" spans="1:19" x14ac:dyDescent="0.3">
      <c r="A4" s="50">
        <v>3</v>
      </c>
      <c r="B4" s="48" t="s">
        <v>13</v>
      </c>
      <c r="C4" s="50">
        <v>1</v>
      </c>
      <c r="D4" s="48" t="s">
        <v>283</v>
      </c>
      <c r="E4" s="48" t="s">
        <v>5</v>
      </c>
      <c r="F4" s="48" t="s">
        <v>84</v>
      </c>
      <c r="G4" s="48" t="s">
        <v>92</v>
      </c>
      <c r="H4" s="48" t="s">
        <v>96</v>
      </c>
      <c r="I4" s="50">
        <v>11455</v>
      </c>
      <c r="J4">
        <v>10067.68</v>
      </c>
      <c r="K4" s="56">
        <v>45500</v>
      </c>
      <c r="L4" s="61">
        <v>45500</v>
      </c>
      <c r="M4" s="56">
        <v>45516</v>
      </c>
      <c r="N4" s="56">
        <v>45519</v>
      </c>
      <c r="O4" s="48" t="s">
        <v>134</v>
      </c>
      <c r="P4" s="48" t="s">
        <v>134</v>
      </c>
      <c r="Q4" s="48" t="s">
        <v>109</v>
      </c>
      <c r="R4" s="50">
        <v>1</v>
      </c>
      <c r="S4" s="48" t="s">
        <v>134</v>
      </c>
    </row>
    <row r="5" spans="1:19" x14ac:dyDescent="0.3">
      <c r="A5" s="50">
        <v>4</v>
      </c>
      <c r="B5" s="48" t="s">
        <v>15</v>
      </c>
      <c r="C5" s="50">
        <v>1</v>
      </c>
      <c r="D5" s="48" t="s">
        <v>66</v>
      </c>
      <c r="E5" s="48" t="s">
        <v>5</v>
      </c>
      <c r="F5" s="48" t="s">
        <v>160</v>
      </c>
      <c r="G5" s="48" t="s">
        <v>105</v>
      </c>
      <c r="H5" s="48" t="s">
        <v>95</v>
      </c>
      <c r="I5" s="50">
        <v>8642</v>
      </c>
      <c r="J5" t="s">
        <v>11</v>
      </c>
      <c r="K5" s="56">
        <v>45529</v>
      </c>
      <c r="L5" s="61">
        <v>45529</v>
      </c>
      <c r="M5" s="56">
        <v>45542</v>
      </c>
      <c r="N5" s="56">
        <v>45531</v>
      </c>
      <c r="O5" s="48" t="s">
        <v>256</v>
      </c>
      <c r="P5" s="48" t="s">
        <v>262</v>
      </c>
      <c r="Q5" s="48" t="s">
        <v>209</v>
      </c>
      <c r="R5" s="50">
        <v>0</v>
      </c>
      <c r="S5" s="48" t="s">
        <v>111</v>
      </c>
    </row>
    <row r="6" spans="1:19" x14ac:dyDescent="0.3">
      <c r="A6" s="50">
        <v>5</v>
      </c>
      <c r="B6" s="48" t="s">
        <v>211</v>
      </c>
      <c r="C6" s="50">
        <v>1</v>
      </c>
      <c r="D6" s="48" t="s">
        <v>283</v>
      </c>
      <c r="E6" s="48" t="s">
        <v>5</v>
      </c>
      <c r="F6" s="48" t="s">
        <v>84</v>
      </c>
      <c r="G6" s="48" t="s">
        <v>92</v>
      </c>
      <c r="H6" s="48" t="s">
        <v>98</v>
      </c>
      <c r="I6" s="50">
        <v>12833</v>
      </c>
      <c r="J6">
        <v>12974.22</v>
      </c>
      <c r="K6" s="56">
        <v>45520</v>
      </c>
      <c r="L6" s="61">
        <v>45520</v>
      </c>
      <c r="M6" s="56">
        <v>45535</v>
      </c>
      <c r="N6" s="56">
        <v>45537</v>
      </c>
      <c r="O6" s="48" t="s">
        <v>134</v>
      </c>
      <c r="P6" s="48" t="s">
        <v>134</v>
      </c>
      <c r="Q6" s="48" t="s">
        <v>109</v>
      </c>
      <c r="R6" s="50">
        <v>0</v>
      </c>
      <c r="S6" s="48" t="s">
        <v>134</v>
      </c>
    </row>
    <row r="7" spans="1:19" x14ac:dyDescent="0.3">
      <c r="A7" s="50">
        <v>6</v>
      </c>
      <c r="B7" s="48" t="s">
        <v>31</v>
      </c>
      <c r="C7" s="50">
        <v>0</v>
      </c>
      <c r="D7" s="48" t="s">
        <v>264</v>
      </c>
      <c r="E7" s="48" t="s">
        <v>31</v>
      </c>
      <c r="F7" s="48" t="s">
        <v>90</v>
      </c>
      <c r="G7" s="48" t="s">
        <v>117</v>
      </c>
      <c r="H7" s="48" t="s">
        <v>98</v>
      </c>
      <c r="I7" s="50">
        <v>14550</v>
      </c>
      <c r="J7" t="s">
        <v>11</v>
      </c>
      <c r="K7" s="56">
        <v>45518</v>
      </c>
      <c r="L7" s="61">
        <v>45518</v>
      </c>
      <c r="M7" s="56">
        <v>45538</v>
      </c>
      <c r="N7" s="56">
        <v>45540</v>
      </c>
      <c r="O7" s="48" t="s">
        <v>255</v>
      </c>
      <c r="P7" s="48" t="s">
        <v>261</v>
      </c>
      <c r="Q7" s="48" t="s">
        <v>209</v>
      </c>
      <c r="R7" s="50">
        <v>0</v>
      </c>
      <c r="S7" s="48" t="s">
        <v>111</v>
      </c>
    </row>
    <row r="8" spans="1:19" x14ac:dyDescent="0.3">
      <c r="A8" s="50">
        <v>7</v>
      </c>
      <c r="B8" s="48" t="s">
        <v>212</v>
      </c>
      <c r="C8" s="50">
        <v>0</v>
      </c>
      <c r="D8" s="48" t="s">
        <v>295</v>
      </c>
      <c r="E8" s="48" t="s">
        <v>155</v>
      </c>
      <c r="F8" s="48" t="s">
        <v>90</v>
      </c>
      <c r="G8" s="48" t="s">
        <v>117</v>
      </c>
      <c r="H8" s="48" t="s">
        <v>98</v>
      </c>
      <c r="I8" s="50">
        <v>12000</v>
      </c>
      <c r="J8">
        <v>12000</v>
      </c>
      <c r="K8" s="56">
        <v>45521</v>
      </c>
      <c r="L8" s="61">
        <v>45521</v>
      </c>
      <c r="M8" s="56">
        <v>45524</v>
      </c>
      <c r="N8" s="56">
        <v>45523</v>
      </c>
      <c r="O8" s="48" t="s">
        <v>256</v>
      </c>
      <c r="P8" s="48" t="s">
        <v>262</v>
      </c>
      <c r="Q8" s="48" t="s">
        <v>209</v>
      </c>
      <c r="R8" s="50">
        <v>0</v>
      </c>
      <c r="S8" s="48" t="s">
        <v>111</v>
      </c>
    </row>
    <row r="9" spans="1:19" x14ac:dyDescent="0.3">
      <c r="A9" s="50">
        <v>8</v>
      </c>
      <c r="B9" s="48" t="s">
        <v>24</v>
      </c>
      <c r="C9" s="50">
        <v>1</v>
      </c>
      <c r="D9" s="48" t="s">
        <v>264</v>
      </c>
      <c r="E9" s="48" t="s">
        <v>5</v>
      </c>
      <c r="F9" s="48" t="s">
        <v>84</v>
      </c>
      <c r="G9" s="48" t="s">
        <v>86</v>
      </c>
      <c r="H9" s="48" t="s">
        <v>94</v>
      </c>
      <c r="I9" s="50">
        <v>7228</v>
      </c>
      <c r="J9" t="s">
        <v>11</v>
      </c>
      <c r="K9" s="56">
        <v>45529</v>
      </c>
      <c r="L9" s="61">
        <v>45529</v>
      </c>
      <c r="M9" s="56">
        <v>45538</v>
      </c>
      <c r="N9" s="56">
        <v>45545</v>
      </c>
      <c r="O9" s="48" t="s">
        <v>255</v>
      </c>
      <c r="P9" s="48" t="s">
        <v>261</v>
      </c>
      <c r="Q9" s="48" t="s">
        <v>209</v>
      </c>
      <c r="R9" s="50">
        <v>0</v>
      </c>
      <c r="S9" s="48" t="s">
        <v>111</v>
      </c>
    </row>
    <row r="10" spans="1:19" x14ac:dyDescent="0.3">
      <c r="A10" s="50">
        <v>9</v>
      </c>
      <c r="B10" s="48" t="s">
        <v>27</v>
      </c>
      <c r="C10" s="50">
        <v>0</v>
      </c>
      <c r="D10" s="48" t="s">
        <v>263</v>
      </c>
      <c r="E10" s="48" t="s">
        <v>27</v>
      </c>
      <c r="F10" s="48" t="s">
        <v>87</v>
      </c>
      <c r="G10" s="48" t="s">
        <v>89</v>
      </c>
      <c r="H10" s="48" t="s">
        <v>95</v>
      </c>
      <c r="I10" s="50">
        <v>22000</v>
      </c>
      <c r="J10">
        <v>22000</v>
      </c>
      <c r="K10" s="56">
        <v>45523</v>
      </c>
      <c r="L10" s="61">
        <v>45523</v>
      </c>
      <c r="M10" s="56">
        <v>45536</v>
      </c>
      <c r="N10" s="56">
        <v>45552</v>
      </c>
      <c r="O10" s="48" t="s">
        <v>255</v>
      </c>
      <c r="P10" s="48" t="s">
        <v>261</v>
      </c>
      <c r="Q10" s="48" t="s">
        <v>213</v>
      </c>
      <c r="R10" s="50">
        <v>1</v>
      </c>
      <c r="S10" s="48" t="s">
        <v>111</v>
      </c>
    </row>
    <row r="11" spans="1:19" x14ac:dyDescent="0.3">
      <c r="A11" s="50">
        <v>10</v>
      </c>
      <c r="B11" s="48" t="s">
        <v>27</v>
      </c>
      <c r="C11" s="50">
        <v>0</v>
      </c>
      <c r="D11" s="48" t="s">
        <v>263</v>
      </c>
      <c r="E11" s="48" t="s">
        <v>27</v>
      </c>
      <c r="F11" s="48" t="s">
        <v>90</v>
      </c>
      <c r="G11" s="48" t="s">
        <v>88</v>
      </c>
      <c r="H11" s="48" t="s">
        <v>95</v>
      </c>
      <c r="I11" s="50">
        <v>12000</v>
      </c>
      <c r="J11">
        <v>12000</v>
      </c>
      <c r="K11" s="56">
        <v>45529</v>
      </c>
      <c r="L11" s="61">
        <v>45529</v>
      </c>
      <c r="M11" s="56">
        <v>45550</v>
      </c>
      <c r="N11" s="56">
        <v>45552</v>
      </c>
      <c r="O11" s="48" t="s">
        <v>255</v>
      </c>
      <c r="P11" s="48" t="s">
        <v>261</v>
      </c>
      <c r="Q11" s="48" t="s">
        <v>213</v>
      </c>
      <c r="R11" s="50">
        <v>0</v>
      </c>
      <c r="S11" s="48" t="s">
        <v>111</v>
      </c>
    </row>
    <row r="12" spans="1:19" x14ac:dyDescent="0.3">
      <c r="A12" s="50">
        <v>11</v>
      </c>
      <c r="B12" s="48" t="s">
        <v>214</v>
      </c>
      <c r="C12" s="50">
        <v>1</v>
      </c>
      <c r="D12" s="48" t="s">
        <v>30</v>
      </c>
      <c r="E12" s="48" t="s">
        <v>5</v>
      </c>
      <c r="F12" s="48" t="s">
        <v>84</v>
      </c>
      <c r="G12" s="48" t="s">
        <v>92</v>
      </c>
      <c r="H12" s="48" t="s">
        <v>94</v>
      </c>
      <c r="I12" s="50">
        <v>10499</v>
      </c>
      <c r="J12">
        <v>8924</v>
      </c>
      <c r="K12" s="56">
        <v>45536</v>
      </c>
      <c r="L12" s="61">
        <v>45536</v>
      </c>
      <c r="M12" s="56">
        <v>45551</v>
      </c>
      <c r="N12" s="56">
        <v>45543</v>
      </c>
      <c r="O12" s="48" t="s">
        <v>256</v>
      </c>
      <c r="P12" s="48" t="s">
        <v>262</v>
      </c>
      <c r="Q12" s="48" t="s">
        <v>209</v>
      </c>
      <c r="R12" s="50">
        <v>0</v>
      </c>
      <c r="S12" s="48" t="s">
        <v>111</v>
      </c>
    </row>
    <row r="13" spans="1:19" x14ac:dyDescent="0.3">
      <c r="A13" s="50">
        <v>12</v>
      </c>
      <c r="B13" s="48" t="s">
        <v>215</v>
      </c>
      <c r="C13" s="50">
        <v>1</v>
      </c>
      <c r="D13" s="48" t="s">
        <v>264</v>
      </c>
      <c r="E13" s="48" t="s">
        <v>5</v>
      </c>
      <c r="F13" s="48" t="s">
        <v>84</v>
      </c>
      <c r="G13" s="48" t="s">
        <v>86</v>
      </c>
      <c r="H13" s="48" t="s">
        <v>94</v>
      </c>
      <c r="I13" s="50">
        <v>7295</v>
      </c>
      <c r="J13">
        <v>5895</v>
      </c>
      <c r="K13" s="56">
        <v>45540</v>
      </c>
      <c r="L13" s="61">
        <v>45540</v>
      </c>
      <c r="M13" s="56">
        <v>45549</v>
      </c>
      <c r="N13" s="56">
        <v>45555</v>
      </c>
      <c r="O13" s="48" t="s">
        <v>134</v>
      </c>
      <c r="P13" s="48" t="s">
        <v>134</v>
      </c>
      <c r="Q13" s="48" t="s">
        <v>216</v>
      </c>
      <c r="R13" s="50">
        <v>1</v>
      </c>
      <c r="S13" s="48" t="s">
        <v>134</v>
      </c>
    </row>
    <row r="14" spans="1:19" x14ac:dyDescent="0.3">
      <c r="A14" s="50">
        <v>13</v>
      </c>
      <c r="B14" s="48" t="s">
        <v>217</v>
      </c>
      <c r="C14" s="50">
        <v>1</v>
      </c>
      <c r="D14" s="48" t="s">
        <v>263</v>
      </c>
      <c r="E14" s="48" t="s">
        <v>5</v>
      </c>
      <c r="F14" s="48" t="s">
        <v>160</v>
      </c>
      <c r="G14" s="48" t="s">
        <v>105</v>
      </c>
      <c r="H14" s="48" t="s">
        <v>95</v>
      </c>
      <c r="I14" s="50">
        <v>7849</v>
      </c>
      <c r="J14" t="s">
        <v>11</v>
      </c>
      <c r="K14" s="56">
        <v>45539</v>
      </c>
      <c r="L14" s="61">
        <v>45539</v>
      </c>
      <c r="M14" s="56">
        <v>45551</v>
      </c>
      <c r="N14" s="56">
        <v>45560</v>
      </c>
      <c r="O14" s="48" t="s">
        <v>255</v>
      </c>
      <c r="P14" s="48" t="s">
        <v>261</v>
      </c>
      <c r="Q14" s="48" t="s">
        <v>209</v>
      </c>
      <c r="R14" s="50">
        <v>0</v>
      </c>
      <c r="S14" s="48" t="s">
        <v>119</v>
      </c>
    </row>
    <row r="15" spans="1:19" x14ac:dyDescent="0.3">
      <c r="A15" s="50">
        <v>14</v>
      </c>
      <c r="B15" s="48" t="s">
        <v>218</v>
      </c>
      <c r="C15" s="50">
        <v>1</v>
      </c>
      <c r="D15" s="48" t="s">
        <v>295</v>
      </c>
      <c r="E15" s="48" t="s">
        <v>219</v>
      </c>
      <c r="F15" s="48" t="s">
        <v>84</v>
      </c>
      <c r="G15" s="48" t="s">
        <v>92</v>
      </c>
      <c r="H15" s="48" t="s">
        <v>95</v>
      </c>
      <c r="I15" s="50">
        <v>6180</v>
      </c>
      <c r="J15">
        <v>9700</v>
      </c>
      <c r="K15" s="56">
        <v>45538</v>
      </c>
      <c r="L15" s="61">
        <v>45538</v>
      </c>
      <c r="M15" s="56">
        <v>45551</v>
      </c>
      <c r="N15" s="56">
        <v>45550</v>
      </c>
      <c r="O15" s="48" t="s">
        <v>256</v>
      </c>
      <c r="P15" s="48" t="s">
        <v>262</v>
      </c>
      <c r="Q15" s="48" t="s">
        <v>213</v>
      </c>
      <c r="R15" s="50">
        <v>0</v>
      </c>
      <c r="S15" s="48" t="s">
        <v>111</v>
      </c>
    </row>
    <row r="16" spans="1:19" x14ac:dyDescent="0.3">
      <c r="A16" s="50">
        <v>15</v>
      </c>
      <c r="B16" s="48" t="s">
        <v>35</v>
      </c>
      <c r="C16" s="50">
        <v>1</v>
      </c>
      <c r="D16" s="48" t="s">
        <v>263</v>
      </c>
      <c r="E16" s="48" t="s">
        <v>5</v>
      </c>
      <c r="F16" s="48" t="s">
        <v>84</v>
      </c>
      <c r="G16" s="48" t="s">
        <v>92</v>
      </c>
      <c r="H16" s="48" t="s">
        <v>94</v>
      </c>
      <c r="I16" s="50">
        <v>11199</v>
      </c>
      <c r="J16">
        <v>11310</v>
      </c>
      <c r="K16" s="56">
        <v>45539</v>
      </c>
      <c r="L16" s="61">
        <v>45539</v>
      </c>
      <c r="M16" s="56">
        <v>45553</v>
      </c>
      <c r="N16" s="56">
        <v>45555</v>
      </c>
      <c r="O16" s="48" t="s">
        <v>134</v>
      </c>
      <c r="P16" s="48" t="s">
        <v>134</v>
      </c>
      <c r="Q16" s="48" t="s">
        <v>216</v>
      </c>
      <c r="R16" s="50">
        <v>0</v>
      </c>
      <c r="S16" s="48" t="s">
        <v>134</v>
      </c>
    </row>
    <row r="17" spans="1:19" x14ac:dyDescent="0.3">
      <c r="A17" s="50">
        <v>16</v>
      </c>
      <c r="B17" s="48" t="s">
        <v>212</v>
      </c>
      <c r="C17" s="50">
        <v>0</v>
      </c>
      <c r="D17" s="48" t="s">
        <v>30</v>
      </c>
      <c r="E17" s="48" t="s">
        <v>5</v>
      </c>
      <c r="F17" s="48" t="s">
        <v>84</v>
      </c>
      <c r="G17" s="48" t="s">
        <v>86</v>
      </c>
      <c r="H17" s="48" t="s">
        <v>94</v>
      </c>
      <c r="I17" s="50">
        <v>7987</v>
      </c>
      <c r="J17" t="s">
        <v>11</v>
      </c>
      <c r="K17" s="56">
        <v>45541</v>
      </c>
      <c r="L17" s="61">
        <v>45541</v>
      </c>
      <c r="M17" s="56">
        <v>45551</v>
      </c>
      <c r="N17" s="56">
        <v>45556</v>
      </c>
      <c r="O17" s="48" t="s">
        <v>255</v>
      </c>
      <c r="P17" s="48" t="s">
        <v>261</v>
      </c>
      <c r="Q17" s="48" t="s">
        <v>213</v>
      </c>
      <c r="R17" s="50">
        <v>0</v>
      </c>
      <c r="S17" s="48" t="s">
        <v>111</v>
      </c>
    </row>
    <row r="18" spans="1:19" x14ac:dyDescent="0.3">
      <c r="A18" s="50">
        <v>17</v>
      </c>
      <c r="B18" s="48" t="s">
        <v>27</v>
      </c>
      <c r="C18" s="50">
        <v>0</v>
      </c>
      <c r="D18" s="48" t="s">
        <v>263</v>
      </c>
      <c r="E18" s="48" t="s">
        <v>27</v>
      </c>
      <c r="F18" s="48" t="s">
        <v>91</v>
      </c>
      <c r="G18" s="48" t="s">
        <v>194</v>
      </c>
      <c r="H18" s="48" t="s">
        <v>95</v>
      </c>
      <c r="I18" s="50">
        <v>9300</v>
      </c>
      <c r="J18">
        <v>9300</v>
      </c>
      <c r="K18" s="56">
        <v>45539</v>
      </c>
      <c r="L18" s="61">
        <v>45539</v>
      </c>
      <c r="M18" s="56">
        <v>45550</v>
      </c>
      <c r="N18" s="56">
        <v>45552</v>
      </c>
      <c r="O18" s="48" t="s">
        <v>255</v>
      </c>
      <c r="P18" s="48" t="s">
        <v>261</v>
      </c>
      <c r="Q18" s="48" t="s">
        <v>213</v>
      </c>
      <c r="R18" s="50">
        <v>0</v>
      </c>
      <c r="S18" s="48" t="s">
        <v>111</v>
      </c>
    </row>
    <row r="19" spans="1:19" x14ac:dyDescent="0.3">
      <c r="A19" s="50">
        <v>18</v>
      </c>
      <c r="B19" s="48" t="s">
        <v>57</v>
      </c>
      <c r="C19" s="50">
        <v>1</v>
      </c>
      <c r="D19" s="48" t="s">
        <v>263</v>
      </c>
      <c r="E19" s="48" t="s">
        <v>5</v>
      </c>
      <c r="F19" s="48" t="s">
        <v>160</v>
      </c>
      <c r="G19" s="48" t="s">
        <v>105</v>
      </c>
      <c r="H19" s="48" t="s">
        <v>95</v>
      </c>
      <c r="I19" s="50">
        <v>8849</v>
      </c>
      <c r="J19" t="s">
        <v>11</v>
      </c>
      <c r="K19" s="56">
        <v>45538</v>
      </c>
      <c r="L19" s="61">
        <v>45538</v>
      </c>
      <c r="M19" s="56">
        <v>45581</v>
      </c>
      <c r="N19" s="56">
        <v>45585</v>
      </c>
      <c r="O19" s="48" t="s">
        <v>134</v>
      </c>
      <c r="P19" s="48" t="s">
        <v>134</v>
      </c>
      <c r="Q19" s="48" t="s">
        <v>216</v>
      </c>
      <c r="R19" s="50">
        <v>0</v>
      </c>
      <c r="S19" s="48" t="s">
        <v>134</v>
      </c>
    </row>
    <row r="20" spans="1:19" x14ac:dyDescent="0.3">
      <c r="A20" s="50">
        <v>19</v>
      </c>
      <c r="B20" s="48" t="s">
        <v>40</v>
      </c>
      <c r="C20" s="50">
        <v>1</v>
      </c>
      <c r="D20" s="48" t="s">
        <v>264</v>
      </c>
      <c r="E20" s="48" t="s">
        <v>5</v>
      </c>
      <c r="F20" s="48" t="s">
        <v>84</v>
      </c>
      <c r="G20" s="48" t="s">
        <v>86</v>
      </c>
      <c r="H20" s="48" t="s">
        <v>94</v>
      </c>
      <c r="I20" s="50">
        <v>10987</v>
      </c>
      <c r="J20" t="s">
        <v>11</v>
      </c>
      <c r="K20" s="56">
        <v>45544</v>
      </c>
      <c r="L20" s="61">
        <v>45544</v>
      </c>
      <c r="M20" s="56">
        <v>45552</v>
      </c>
      <c r="N20" s="56">
        <v>45556</v>
      </c>
      <c r="O20" s="48" t="s">
        <v>255</v>
      </c>
      <c r="P20" s="48" t="s">
        <v>261</v>
      </c>
      <c r="Q20" s="48" t="s">
        <v>213</v>
      </c>
      <c r="R20" s="50">
        <v>0</v>
      </c>
      <c r="S20" s="48" t="s">
        <v>111</v>
      </c>
    </row>
    <row r="21" spans="1:19" x14ac:dyDescent="0.3">
      <c r="A21" s="50">
        <v>20</v>
      </c>
      <c r="B21" s="48" t="s">
        <v>31</v>
      </c>
      <c r="C21" s="50">
        <v>0</v>
      </c>
      <c r="D21" s="48" t="s">
        <v>264</v>
      </c>
      <c r="E21" s="48" t="s">
        <v>31</v>
      </c>
      <c r="F21" s="48" t="s">
        <v>84</v>
      </c>
      <c r="G21" s="48" t="s">
        <v>92</v>
      </c>
      <c r="H21" s="48" t="s">
        <v>94</v>
      </c>
      <c r="I21" s="50">
        <v>9208</v>
      </c>
      <c r="J21">
        <v>5781.75</v>
      </c>
      <c r="K21" s="56">
        <v>45536</v>
      </c>
      <c r="L21" s="61">
        <v>45536</v>
      </c>
      <c r="M21" s="56">
        <v>45554</v>
      </c>
      <c r="N21" s="56">
        <v>45556</v>
      </c>
      <c r="O21" s="48" t="s">
        <v>255</v>
      </c>
      <c r="P21" s="48" t="s">
        <v>261</v>
      </c>
      <c r="Q21" s="48" t="s">
        <v>213</v>
      </c>
      <c r="R21" s="50">
        <v>0</v>
      </c>
      <c r="S21" s="48" t="s">
        <v>111</v>
      </c>
    </row>
    <row r="22" spans="1:19" x14ac:dyDescent="0.3">
      <c r="A22" s="50">
        <v>21</v>
      </c>
      <c r="B22" s="48" t="s">
        <v>31</v>
      </c>
      <c r="C22" s="50">
        <v>0</v>
      </c>
      <c r="D22" s="48" t="s">
        <v>264</v>
      </c>
      <c r="E22" s="48" t="s">
        <v>31</v>
      </c>
      <c r="F22" s="48" t="s">
        <v>84</v>
      </c>
      <c r="G22" s="48" t="s">
        <v>92</v>
      </c>
      <c r="H22" s="48" t="s">
        <v>95</v>
      </c>
      <c r="I22" s="50">
        <v>9208</v>
      </c>
      <c r="J22">
        <v>1278.53</v>
      </c>
      <c r="K22" s="56">
        <v>45536</v>
      </c>
      <c r="L22" s="61">
        <v>45536</v>
      </c>
      <c r="M22" s="56">
        <v>45554</v>
      </c>
      <c r="N22" s="56">
        <v>45556</v>
      </c>
      <c r="O22" s="48" t="s">
        <v>255</v>
      </c>
      <c r="P22" s="48" t="s">
        <v>261</v>
      </c>
      <c r="Q22" s="48" t="s">
        <v>213</v>
      </c>
      <c r="R22" s="50">
        <v>0</v>
      </c>
      <c r="S22" s="48" t="s">
        <v>111</v>
      </c>
    </row>
    <row r="23" spans="1:19" x14ac:dyDescent="0.3">
      <c r="A23" s="50">
        <v>22</v>
      </c>
      <c r="B23" s="48" t="s">
        <v>47</v>
      </c>
      <c r="C23" s="50">
        <v>0</v>
      </c>
      <c r="D23" s="48" t="s">
        <v>220</v>
      </c>
      <c r="E23" s="48" t="s">
        <v>219</v>
      </c>
      <c r="F23" s="48" t="s">
        <v>84</v>
      </c>
      <c r="G23" s="48" t="s">
        <v>86</v>
      </c>
      <c r="H23" s="48" t="s">
        <v>94</v>
      </c>
      <c r="I23" s="50">
        <v>4020</v>
      </c>
      <c r="J23" t="s">
        <v>49</v>
      </c>
      <c r="K23" s="56">
        <v>45547</v>
      </c>
      <c r="L23" s="61">
        <v>45547</v>
      </c>
      <c r="M23" s="56">
        <v>45556</v>
      </c>
      <c r="N23" s="56">
        <v>45557</v>
      </c>
      <c r="O23" s="48" t="s">
        <v>255</v>
      </c>
      <c r="P23" s="48" t="s">
        <v>261</v>
      </c>
      <c r="Q23" s="48" t="s">
        <v>213</v>
      </c>
      <c r="R23" s="50">
        <v>0</v>
      </c>
      <c r="S23" s="48" t="s">
        <v>111</v>
      </c>
    </row>
    <row r="24" spans="1:19" x14ac:dyDescent="0.3">
      <c r="A24" s="50">
        <v>23</v>
      </c>
      <c r="B24" s="48" t="s">
        <v>47</v>
      </c>
      <c r="C24" s="50">
        <v>0</v>
      </c>
      <c r="D24" s="48" t="s">
        <v>220</v>
      </c>
      <c r="E24" s="48" t="s">
        <v>219</v>
      </c>
      <c r="F24" s="48" t="s">
        <v>84</v>
      </c>
      <c r="G24" s="48" t="s">
        <v>86</v>
      </c>
      <c r="H24" s="48" t="s">
        <v>95</v>
      </c>
      <c r="I24" s="50">
        <v>4020</v>
      </c>
      <c r="J24" t="s">
        <v>64</v>
      </c>
      <c r="K24" s="56">
        <v>45547</v>
      </c>
      <c r="L24" s="61">
        <v>45547</v>
      </c>
      <c r="M24" s="56">
        <v>45556</v>
      </c>
      <c r="N24" s="56">
        <v>45557</v>
      </c>
      <c r="O24" s="48" t="s">
        <v>255</v>
      </c>
      <c r="P24" s="48" t="s">
        <v>261</v>
      </c>
      <c r="Q24" s="48" t="s">
        <v>213</v>
      </c>
      <c r="R24" s="50">
        <v>0</v>
      </c>
      <c r="S24" s="48" t="s">
        <v>111</v>
      </c>
    </row>
    <row r="25" spans="1:19" x14ac:dyDescent="0.3">
      <c r="A25" s="50">
        <v>24</v>
      </c>
      <c r="B25" s="48" t="s">
        <v>81</v>
      </c>
      <c r="C25" s="50">
        <v>1</v>
      </c>
      <c r="D25" s="48" t="s">
        <v>82</v>
      </c>
      <c r="E25" s="48" t="s">
        <v>5</v>
      </c>
      <c r="F25" s="48" t="s">
        <v>84</v>
      </c>
      <c r="G25" s="48" t="s">
        <v>85</v>
      </c>
      <c r="H25" s="48" t="s">
        <v>95</v>
      </c>
      <c r="I25" s="50">
        <v>9399</v>
      </c>
      <c r="J25" t="s">
        <v>64</v>
      </c>
      <c r="K25" s="56">
        <v>45549</v>
      </c>
      <c r="L25" s="61">
        <v>45549</v>
      </c>
      <c r="M25" s="56">
        <v>45557</v>
      </c>
      <c r="N25" s="56">
        <v>45565</v>
      </c>
      <c r="O25" s="48" t="s">
        <v>134</v>
      </c>
      <c r="P25" s="48" t="s">
        <v>134</v>
      </c>
      <c r="Q25" s="48" t="s">
        <v>109</v>
      </c>
      <c r="R25" s="50">
        <v>0</v>
      </c>
      <c r="S25" s="48" t="s">
        <v>134</v>
      </c>
    </row>
    <row r="26" spans="1:19" x14ac:dyDescent="0.3">
      <c r="A26" s="50">
        <v>25</v>
      </c>
      <c r="B26" s="48" t="s">
        <v>83</v>
      </c>
      <c r="C26" s="50">
        <v>1</v>
      </c>
      <c r="D26" s="48" t="s">
        <v>210</v>
      </c>
      <c r="E26" s="48" t="s">
        <v>5</v>
      </c>
      <c r="F26" s="48" t="s">
        <v>160</v>
      </c>
      <c r="G26" s="48" t="s">
        <v>107</v>
      </c>
      <c r="H26" s="48" t="s">
        <v>95</v>
      </c>
      <c r="I26" s="50">
        <v>8349</v>
      </c>
      <c r="J26" t="s">
        <v>64</v>
      </c>
      <c r="K26" s="56">
        <v>45549</v>
      </c>
      <c r="L26" s="61">
        <v>45549</v>
      </c>
      <c r="M26" s="56">
        <v>45557</v>
      </c>
      <c r="N26" s="56">
        <v>45559</v>
      </c>
      <c r="O26" s="48" t="s">
        <v>255</v>
      </c>
      <c r="P26" s="48" t="s">
        <v>261</v>
      </c>
      <c r="Q26" s="48" t="s">
        <v>209</v>
      </c>
      <c r="R26" s="50">
        <v>0</v>
      </c>
      <c r="S26" s="48" t="s">
        <v>111</v>
      </c>
    </row>
    <row r="27" spans="1:19" x14ac:dyDescent="0.3">
      <c r="A27" s="50">
        <v>26</v>
      </c>
      <c r="B27" s="48" t="s">
        <v>200</v>
      </c>
      <c r="C27" s="50">
        <v>1</v>
      </c>
      <c r="D27" s="48" t="s">
        <v>264</v>
      </c>
      <c r="E27" s="48" t="s">
        <v>5</v>
      </c>
      <c r="F27" s="48" t="s">
        <v>84</v>
      </c>
      <c r="G27" s="48" t="s">
        <v>85</v>
      </c>
      <c r="H27" s="48" t="s">
        <v>95</v>
      </c>
      <c r="I27" s="50">
        <v>9399</v>
      </c>
      <c r="J27" t="s">
        <v>11</v>
      </c>
      <c r="K27" s="56">
        <v>45548</v>
      </c>
      <c r="L27" s="61">
        <v>45548</v>
      </c>
      <c r="M27" s="56">
        <v>45559</v>
      </c>
      <c r="N27" s="56">
        <v>45566</v>
      </c>
      <c r="O27" s="48" t="s">
        <v>255</v>
      </c>
      <c r="P27" s="48" t="s">
        <v>261</v>
      </c>
      <c r="Q27" s="48" t="s">
        <v>209</v>
      </c>
      <c r="R27" s="50">
        <v>0</v>
      </c>
      <c r="S27" s="48" t="s">
        <v>111</v>
      </c>
    </row>
    <row r="28" spans="1:19" x14ac:dyDescent="0.3">
      <c r="A28" s="50">
        <v>27</v>
      </c>
      <c r="B28" s="48" t="s">
        <v>221</v>
      </c>
      <c r="C28" s="50">
        <v>1</v>
      </c>
      <c r="D28" s="48" t="s">
        <v>169</v>
      </c>
      <c r="E28" s="48" t="s">
        <v>5</v>
      </c>
      <c r="F28" s="48" t="s">
        <v>160</v>
      </c>
      <c r="G28" s="48" t="s">
        <v>105</v>
      </c>
      <c r="H28" s="48" t="s">
        <v>95</v>
      </c>
      <c r="I28" s="50">
        <v>7849</v>
      </c>
      <c r="J28">
        <v>7928</v>
      </c>
      <c r="K28" s="56">
        <v>45547</v>
      </c>
      <c r="L28" s="61">
        <v>45547</v>
      </c>
      <c r="M28" s="56">
        <v>45561</v>
      </c>
      <c r="N28" s="56">
        <v>45556</v>
      </c>
      <c r="O28" s="48" t="s">
        <v>256</v>
      </c>
      <c r="P28" s="48" t="s">
        <v>262</v>
      </c>
      <c r="Q28" s="48" t="s">
        <v>209</v>
      </c>
      <c r="R28" s="50">
        <v>0</v>
      </c>
      <c r="S28" s="48" t="s">
        <v>196</v>
      </c>
    </row>
    <row r="29" spans="1:19" x14ac:dyDescent="0.3">
      <c r="A29" s="50">
        <v>28</v>
      </c>
      <c r="B29" s="48" t="s">
        <v>46</v>
      </c>
      <c r="C29" s="50">
        <v>1</v>
      </c>
      <c r="D29" s="48" t="s">
        <v>264</v>
      </c>
      <c r="E29" s="48" t="s">
        <v>155</v>
      </c>
      <c r="F29" s="48" t="s">
        <v>84</v>
      </c>
      <c r="G29" s="48" t="s">
        <v>97</v>
      </c>
      <c r="H29" s="48" t="s">
        <v>95</v>
      </c>
      <c r="I29" s="50">
        <v>9450</v>
      </c>
      <c r="J29">
        <v>9450</v>
      </c>
      <c r="K29" s="56">
        <v>45547</v>
      </c>
      <c r="L29" s="61">
        <v>45547</v>
      </c>
      <c r="M29" s="56">
        <v>45561</v>
      </c>
      <c r="N29" s="56">
        <v>45565</v>
      </c>
      <c r="O29" s="48" t="s">
        <v>134</v>
      </c>
      <c r="P29" s="48" t="s">
        <v>134</v>
      </c>
      <c r="Q29" s="48" t="s">
        <v>216</v>
      </c>
      <c r="R29" s="50">
        <v>0</v>
      </c>
      <c r="S29" s="48" t="s">
        <v>134</v>
      </c>
    </row>
    <row r="30" spans="1:19" x14ac:dyDescent="0.3">
      <c r="A30" s="50">
        <v>29</v>
      </c>
      <c r="B30" s="48" t="s">
        <v>222</v>
      </c>
      <c r="C30" s="50">
        <v>1</v>
      </c>
      <c r="D30" s="48" t="s">
        <v>30</v>
      </c>
      <c r="E30" s="48" t="s">
        <v>5</v>
      </c>
      <c r="F30" s="48" t="s">
        <v>84</v>
      </c>
      <c r="G30" s="48" t="s">
        <v>86</v>
      </c>
      <c r="H30" s="48" t="s">
        <v>95</v>
      </c>
      <c r="I30" s="50">
        <v>7460</v>
      </c>
      <c r="J30" t="s">
        <v>11</v>
      </c>
      <c r="K30" s="56">
        <v>45548</v>
      </c>
      <c r="L30" s="61">
        <v>45548</v>
      </c>
      <c r="M30" s="56">
        <v>45561</v>
      </c>
      <c r="N30" s="56">
        <v>45568</v>
      </c>
      <c r="O30" s="48" t="s">
        <v>255</v>
      </c>
      <c r="P30" s="48" t="s">
        <v>261</v>
      </c>
      <c r="Q30" s="48" t="s">
        <v>213</v>
      </c>
      <c r="R30" s="50">
        <v>0</v>
      </c>
      <c r="S30" s="48" t="s">
        <v>111</v>
      </c>
    </row>
    <row r="31" spans="1:19" x14ac:dyDescent="0.3">
      <c r="A31" s="50">
        <v>30</v>
      </c>
      <c r="B31" s="48" t="s">
        <v>55</v>
      </c>
      <c r="C31" s="50">
        <v>1</v>
      </c>
      <c r="D31" s="48" t="s">
        <v>30</v>
      </c>
      <c r="E31" s="48" t="s">
        <v>5</v>
      </c>
      <c r="F31" s="48" t="s">
        <v>84</v>
      </c>
      <c r="G31" s="48" t="s">
        <v>86</v>
      </c>
      <c r="H31" s="48" t="s">
        <v>100</v>
      </c>
      <c r="I31" s="50">
        <v>9528</v>
      </c>
      <c r="J31" t="s">
        <v>11</v>
      </c>
      <c r="K31" s="56">
        <v>45548</v>
      </c>
      <c r="L31" s="61">
        <v>45548</v>
      </c>
      <c r="M31" s="56">
        <v>45561</v>
      </c>
      <c r="N31" s="56">
        <v>45568</v>
      </c>
      <c r="O31" s="48" t="s">
        <v>255</v>
      </c>
      <c r="P31" s="48" t="s">
        <v>261</v>
      </c>
      <c r="Q31" s="48" t="s">
        <v>213</v>
      </c>
      <c r="R31" s="50">
        <v>0</v>
      </c>
      <c r="S31" s="48" t="s">
        <v>111</v>
      </c>
    </row>
    <row r="32" spans="1:19" x14ac:dyDescent="0.3">
      <c r="A32" s="50">
        <v>31</v>
      </c>
      <c r="B32" s="48" t="s">
        <v>223</v>
      </c>
      <c r="C32" s="50">
        <v>1</v>
      </c>
      <c r="D32" s="48" t="s">
        <v>264</v>
      </c>
      <c r="E32" s="48" t="s">
        <v>5</v>
      </c>
      <c r="F32" s="48" t="s">
        <v>84</v>
      </c>
      <c r="G32" s="48" t="s">
        <v>92</v>
      </c>
      <c r="H32" s="48" t="s">
        <v>98</v>
      </c>
      <c r="I32" s="50">
        <v>12999</v>
      </c>
      <c r="J32" t="s">
        <v>11</v>
      </c>
      <c r="K32" s="56">
        <v>45549</v>
      </c>
      <c r="L32" s="61">
        <v>45549</v>
      </c>
      <c r="M32" s="56">
        <v>45562</v>
      </c>
      <c r="N32" s="56">
        <v>45567</v>
      </c>
      <c r="O32" s="48" t="s">
        <v>255</v>
      </c>
      <c r="P32" s="48" t="s">
        <v>261</v>
      </c>
      <c r="Q32" s="48" t="s">
        <v>213</v>
      </c>
      <c r="R32" s="50">
        <v>0</v>
      </c>
      <c r="S32" s="48" t="s">
        <v>111</v>
      </c>
    </row>
    <row r="33" spans="1:19" x14ac:dyDescent="0.3">
      <c r="A33" s="50">
        <v>32</v>
      </c>
      <c r="B33" s="48" t="s">
        <v>224</v>
      </c>
      <c r="C33" s="50">
        <v>1</v>
      </c>
      <c r="D33" s="48" t="s">
        <v>50</v>
      </c>
      <c r="E33" s="48" t="s">
        <v>5</v>
      </c>
      <c r="F33" s="48" t="s">
        <v>84</v>
      </c>
      <c r="G33" s="48" t="s">
        <v>92</v>
      </c>
      <c r="H33" s="48" t="s">
        <v>95</v>
      </c>
      <c r="I33" s="50">
        <v>5999</v>
      </c>
      <c r="J33" t="s">
        <v>11</v>
      </c>
      <c r="K33" s="56">
        <v>45547</v>
      </c>
      <c r="L33" s="61">
        <v>45547</v>
      </c>
      <c r="M33" s="56">
        <v>45564</v>
      </c>
      <c r="N33" s="56">
        <v>45567</v>
      </c>
      <c r="O33" s="48" t="s">
        <v>134</v>
      </c>
      <c r="P33" s="48" t="s">
        <v>134</v>
      </c>
      <c r="Q33" s="48" t="s">
        <v>216</v>
      </c>
      <c r="R33" s="50">
        <v>0</v>
      </c>
      <c r="S33" s="48" t="s">
        <v>134</v>
      </c>
    </row>
    <row r="34" spans="1:19" x14ac:dyDescent="0.3">
      <c r="A34" s="50">
        <v>33</v>
      </c>
      <c r="B34" s="48" t="s">
        <v>225</v>
      </c>
      <c r="C34" s="50">
        <v>1</v>
      </c>
      <c r="D34" s="48" t="s">
        <v>264</v>
      </c>
      <c r="E34" s="48" t="s">
        <v>5</v>
      </c>
      <c r="F34" s="48" t="s">
        <v>84</v>
      </c>
      <c r="G34" s="48" t="s">
        <v>92</v>
      </c>
      <c r="H34" s="48" t="s">
        <v>95</v>
      </c>
      <c r="I34" s="50">
        <v>11949</v>
      </c>
      <c r="J34">
        <v>10749</v>
      </c>
      <c r="K34" s="56">
        <v>45547</v>
      </c>
      <c r="L34" s="61">
        <v>45547</v>
      </c>
      <c r="M34" s="56">
        <v>45564</v>
      </c>
      <c r="N34" s="56">
        <v>45567</v>
      </c>
      <c r="O34" s="48" t="s">
        <v>255</v>
      </c>
      <c r="P34" s="48" t="s">
        <v>261</v>
      </c>
      <c r="Q34" s="48" t="s">
        <v>213</v>
      </c>
      <c r="R34" s="50">
        <v>0</v>
      </c>
      <c r="S34" s="48" t="s">
        <v>111</v>
      </c>
    </row>
    <row r="35" spans="1:19" x14ac:dyDescent="0.3">
      <c r="A35" s="50">
        <v>34</v>
      </c>
      <c r="B35" s="48" t="s">
        <v>212</v>
      </c>
      <c r="C35" s="50">
        <v>1</v>
      </c>
      <c r="D35" s="48" t="s">
        <v>50</v>
      </c>
      <c r="E35" s="48" t="s">
        <v>5</v>
      </c>
      <c r="F35" s="48" t="s">
        <v>84</v>
      </c>
      <c r="G35" s="48" t="s">
        <v>97</v>
      </c>
      <c r="H35" s="48" t="s">
        <v>94</v>
      </c>
      <c r="I35" s="50">
        <v>16599</v>
      </c>
      <c r="J35" t="s">
        <v>11</v>
      </c>
      <c r="K35" s="56">
        <v>45548</v>
      </c>
      <c r="L35" s="61">
        <v>45548</v>
      </c>
      <c r="M35" s="56">
        <v>45565</v>
      </c>
      <c r="N35" s="56">
        <v>45568</v>
      </c>
      <c r="O35" s="48" t="s">
        <v>255</v>
      </c>
      <c r="P35" s="48" t="s">
        <v>261</v>
      </c>
      <c r="Q35" s="48" t="s">
        <v>213</v>
      </c>
      <c r="R35" s="50">
        <v>0</v>
      </c>
      <c r="S35" s="48" t="s">
        <v>111</v>
      </c>
    </row>
    <row r="36" spans="1:19" x14ac:dyDescent="0.3">
      <c r="A36" s="50">
        <v>35</v>
      </c>
      <c r="B36" s="48" t="s">
        <v>226</v>
      </c>
      <c r="C36" s="50">
        <v>1</v>
      </c>
      <c r="D36" s="48" t="s">
        <v>66</v>
      </c>
      <c r="E36" s="48" t="s">
        <v>5</v>
      </c>
      <c r="F36" s="48" t="s">
        <v>84</v>
      </c>
      <c r="G36" s="48" t="s">
        <v>92</v>
      </c>
      <c r="H36" s="48" t="s">
        <v>94</v>
      </c>
      <c r="I36" s="50">
        <v>10999</v>
      </c>
      <c r="J36" t="s">
        <v>11</v>
      </c>
      <c r="K36" s="56">
        <v>45548</v>
      </c>
      <c r="L36" s="61">
        <v>45548</v>
      </c>
      <c r="M36" s="56">
        <v>45565</v>
      </c>
      <c r="N36" s="56">
        <v>45581</v>
      </c>
      <c r="O36" s="48" t="s">
        <v>255</v>
      </c>
      <c r="P36" s="48" t="s">
        <v>261</v>
      </c>
      <c r="Q36" s="48" t="s">
        <v>209</v>
      </c>
      <c r="R36" s="50">
        <v>0</v>
      </c>
      <c r="S36" s="48" t="s">
        <v>111</v>
      </c>
    </row>
    <row r="37" spans="1:19" x14ac:dyDescent="0.3">
      <c r="A37" s="50">
        <v>36</v>
      </c>
      <c r="B37" s="48" t="s">
        <v>227</v>
      </c>
      <c r="C37" s="50">
        <v>1</v>
      </c>
      <c r="D37" s="48" t="s">
        <v>82</v>
      </c>
      <c r="E37" s="48" t="s">
        <v>5</v>
      </c>
      <c r="F37" s="48" t="s">
        <v>84</v>
      </c>
      <c r="G37" s="48" t="s">
        <v>92</v>
      </c>
      <c r="H37" s="48" t="s">
        <v>96</v>
      </c>
      <c r="I37" s="50">
        <v>13099</v>
      </c>
      <c r="J37" t="s">
        <v>11</v>
      </c>
      <c r="K37" s="56">
        <v>45548</v>
      </c>
      <c r="L37" s="61">
        <v>45548</v>
      </c>
      <c r="M37" s="56">
        <v>45565</v>
      </c>
      <c r="N37" s="56">
        <v>45568</v>
      </c>
      <c r="O37" s="48" t="s">
        <v>255</v>
      </c>
      <c r="P37" s="48" t="s">
        <v>261</v>
      </c>
      <c r="Q37" s="48" t="s">
        <v>209</v>
      </c>
      <c r="R37" s="50">
        <v>0</v>
      </c>
      <c r="S37" s="48" t="s">
        <v>111</v>
      </c>
    </row>
    <row r="38" spans="1:19" x14ac:dyDescent="0.3">
      <c r="A38" s="50">
        <v>37</v>
      </c>
      <c r="B38" s="48" t="s">
        <v>228</v>
      </c>
      <c r="C38" s="50">
        <v>1</v>
      </c>
      <c r="D38" s="48" t="s">
        <v>264</v>
      </c>
      <c r="E38" s="48" t="s">
        <v>5</v>
      </c>
      <c r="F38" s="48" t="s">
        <v>84</v>
      </c>
      <c r="G38" s="48" t="s">
        <v>92</v>
      </c>
      <c r="H38" s="48" t="s">
        <v>99</v>
      </c>
      <c r="I38" s="50">
        <v>13849</v>
      </c>
      <c r="J38" t="s">
        <v>11</v>
      </c>
      <c r="K38" s="56">
        <v>45548</v>
      </c>
      <c r="L38" s="61">
        <v>45548</v>
      </c>
      <c r="M38" s="56">
        <v>45565</v>
      </c>
      <c r="N38" s="56">
        <v>45585</v>
      </c>
      <c r="O38" s="48" t="s">
        <v>255</v>
      </c>
      <c r="P38" s="48" t="s">
        <v>261</v>
      </c>
      <c r="Q38" s="48" t="s">
        <v>213</v>
      </c>
      <c r="R38" s="50">
        <v>0</v>
      </c>
      <c r="S38" s="48" t="s">
        <v>111</v>
      </c>
    </row>
    <row r="39" spans="1:19" x14ac:dyDescent="0.3">
      <c r="A39" s="50">
        <v>38</v>
      </c>
      <c r="B39" s="48" t="s">
        <v>229</v>
      </c>
      <c r="C39" s="50">
        <v>1</v>
      </c>
      <c r="D39" s="48" t="s">
        <v>30</v>
      </c>
      <c r="E39" s="48" t="s">
        <v>5</v>
      </c>
      <c r="F39" s="48" t="s">
        <v>90</v>
      </c>
      <c r="G39" s="48" t="s">
        <v>117</v>
      </c>
      <c r="H39" s="48" t="s">
        <v>95</v>
      </c>
      <c r="I39" s="50">
        <v>21999</v>
      </c>
      <c r="J39" t="s">
        <v>11</v>
      </c>
      <c r="K39" s="56">
        <v>45548</v>
      </c>
      <c r="L39" s="61">
        <v>45548</v>
      </c>
      <c r="M39" s="56">
        <v>45565</v>
      </c>
      <c r="N39" s="56">
        <v>45567</v>
      </c>
      <c r="O39" s="48" t="s">
        <v>255</v>
      </c>
      <c r="P39" s="48" t="s">
        <v>261</v>
      </c>
      <c r="Q39" s="48" t="s">
        <v>213</v>
      </c>
      <c r="R39" s="50">
        <v>0</v>
      </c>
      <c r="S39" s="48" t="s">
        <v>111</v>
      </c>
    </row>
    <row r="40" spans="1:19" x14ac:dyDescent="0.3">
      <c r="A40" s="50">
        <v>39</v>
      </c>
      <c r="B40" s="48" t="s">
        <v>230</v>
      </c>
      <c r="C40" s="50">
        <v>1</v>
      </c>
      <c r="D40" s="48" t="s">
        <v>264</v>
      </c>
      <c r="E40" s="48" t="s">
        <v>5</v>
      </c>
      <c r="F40" s="48" t="s">
        <v>84</v>
      </c>
      <c r="G40" s="48" t="s">
        <v>92</v>
      </c>
      <c r="H40" s="48" t="s">
        <v>94</v>
      </c>
      <c r="I40" s="50">
        <v>10999</v>
      </c>
      <c r="J40" t="s">
        <v>11</v>
      </c>
      <c r="K40" s="56">
        <v>45548</v>
      </c>
      <c r="L40" s="61">
        <v>45548</v>
      </c>
      <c r="M40" s="56">
        <v>45565</v>
      </c>
      <c r="N40" s="56">
        <v>45580</v>
      </c>
      <c r="O40" s="48" t="s">
        <v>255</v>
      </c>
      <c r="P40" s="48" t="s">
        <v>261</v>
      </c>
      <c r="Q40" s="48" t="s">
        <v>213</v>
      </c>
      <c r="R40" s="50">
        <v>0</v>
      </c>
      <c r="S40" s="48" t="s">
        <v>111</v>
      </c>
    </row>
    <row r="41" spans="1:19" x14ac:dyDescent="0.3">
      <c r="A41" s="50">
        <v>40</v>
      </c>
      <c r="B41" s="48" t="s">
        <v>231</v>
      </c>
      <c r="C41" s="50">
        <v>1</v>
      </c>
      <c r="D41" s="48" t="s">
        <v>263</v>
      </c>
      <c r="E41" s="48" t="s">
        <v>5</v>
      </c>
      <c r="F41" s="48" t="s">
        <v>84</v>
      </c>
      <c r="G41" s="48" t="s">
        <v>97</v>
      </c>
      <c r="H41" s="48" t="s">
        <v>95</v>
      </c>
      <c r="I41" s="50">
        <v>17249</v>
      </c>
      <c r="J41" t="s">
        <v>11</v>
      </c>
      <c r="K41" s="56">
        <v>45548</v>
      </c>
      <c r="L41" s="61">
        <v>45548</v>
      </c>
      <c r="M41" s="56">
        <v>45565</v>
      </c>
      <c r="N41" s="56">
        <v>45569</v>
      </c>
      <c r="O41" s="48" t="s">
        <v>255</v>
      </c>
      <c r="P41" s="48" t="s">
        <v>261</v>
      </c>
      <c r="Q41" s="48" t="s">
        <v>213</v>
      </c>
      <c r="R41" s="50">
        <v>0</v>
      </c>
      <c r="S41" s="48" t="s">
        <v>111</v>
      </c>
    </row>
    <row r="42" spans="1:19" x14ac:dyDescent="0.3">
      <c r="A42" s="50">
        <v>41</v>
      </c>
      <c r="B42" s="48" t="s">
        <v>232</v>
      </c>
      <c r="C42" s="50">
        <v>1</v>
      </c>
      <c r="D42" s="48" t="s">
        <v>264</v>
      </c>
      <c r="E42" s="48" t="s">
        <v>5</v>
      </c>
      <c r="F42" s="48" t="s">
        <v>160</v>
      </c>
      <c r="G42" s="48" t="s">
        <v>105</v>
      </c>
      <c r="H42" s="48" t="s">
        <v>95</v>
      </c>
      <c r="I42" s="50">
        <v>8349</v>
      </c>
      <c r="J42" t="s">
        <v>11</v>
      </c>
      <c r="K42" s="56">
        <v>45549</v>
      </c>
      <c r="L42" s="61">
        <v>45549</v>
      </c>
      <c r="M42" s="56">
        <v>45581</v>
      </c>
      <c r="N42" s="56">
        <v>45586</v>
      </c>
      <c r="O42" s="48" t="s">
        <v>255</v>
      </c>
      <c r="P42" s="48" t="s">
        <v>261</v>
      </c>
      <c r="Q42" s="48" t="s">
        <v>213</v>
      </c>
      <c r="R42" s="50">
        <v>0</v>
      </c>
      <c r="S42" s="48" t="s">
        <v>111</v>
      </c>
    </row>
    <row r="43" spans="1:19" x14ac:dyDescent="0.3">
      <c r="A43" s="50">
        <v>42</v>
      </c>
      <c r="B43" s="48" t="s">
        <v>233</v>
      </c>
      <c r="C43" s="50">
        <v>1</v>
      </c>
      <c r="D43" s="48" t="s">
        <v>263</v>
      </c>
      <c r="E43" s="48" t="s">
        <v>5</v>
      </c>
      <c r="F43" s="48" t="s">
        <v>160</v>
      </c>
      <c r="G43" s="48" t="s">
        <v>106</v>
      </c>
      <c r="H43" s="48" t="s">
        <v>95</v>
      </c>
      <c r="I43" s="50">
        <v>7849</v>
      </c>
      <c r="J43" t="s">
        <v>11</v>
      </c>
      <c r="K43" s="56">
        <v>45549</v>
      </c>
      <c r="L43" s="61">
        <v>45549</v>
      </c>
      <c r="M43" s="56">
        <v>45594</v>
      </c>
      <c r="N43" s="56">
        <v>45595</v>
      </c>
      <c r="O43" s="48" t="s">
        <v>255</v>
      </c>
      <c r="P43" s="48" t="s">
        <v>261</v>
      </c>
      <c r="Q43" s="48" t="s">
        <v>213</v>
      </c>
      <c r="R43" s="50">
        <v>0</v>
      </c>
      <c r="S43" s="48" t="s">
        <v>111</v>
      </c>
    </row>
    <row r="44" spans="1:19" x14ac:dyDescent="0.3">
      <c r="A44" s="50">
        <v>43</v>
      </c>
      <c r="B44" s="48" t="s">
        <v>68</v>
      </c>
      <c r="C44" s="50">
        <v>1</v>
      </c>
      <c r="D44" s="48" t="s">
        <v>264</v>
      </c>
      <c r="E44" s="48" t="s">
        <v>5</v>
      </c>
      <c r="F44" s="48" t="s">
        <v>84</v>
      </c>
      <c r="G44" s="48" t="s">
        <v>85</v>
      </c>
      <c r="H44" s="48" t="s">
        <v>95</v>
      </c>
      <c r="I44" s="50">
        <v>9399</v>
      </c>
      <c r="J44" t="s">
        <v>64</v>
      </c>
      <c r="K44" s="56">
        <v>45549</v>
      </c>
      <c r="L44" s="61">
        <v>45549</v>
      </c>
      <c r="M44" s="56">
        <v>45594</v>
      </c>
      <c r="N44" s="56">
        <v>45580</v>
      </c>
      <c r="O44" s="48" t="s">
        <v>256</v>
      </c>
      <c r="P44" s="48" t="s">
        <v>262</v>
      </c>
      <c r="Q44" s="48" t="s">
        <v>213</v>
      </c>
      <c r="R44" s="50">
        <v>0</v>
      </c>
      <c r="S44" s="48" t="s">
        <v>111</v>
      </c>
    </row>
    <row r="45" spans="1:19" x14ac:dyDescent="0.3">
      <c r="A45" s="50">
        <v>44</v>
      </c>
      <c r="B45" s="48" t="s">
        <v>234</v>
      </c>
      <c r="C45" s="50">
        <v>1</v>
      </c>
      <c r="D45" s="48" t="s">
        <v>264</v>
      </c>
      <c r="E45" s="48" t="s">
        <v>5</v>
      </c>
      <c r="F45" s="48" t="s">
        <v>84</v>
      </c>
      <c r="G45" s="48" t="s">
        <v>86</v>
      </c>
      <c r="H45" s="48" t="s">
        <v>95</v>
      </c>
      <c r="I45" s="50">
        <v>11817</v>
      </c>
      <c r="J45" t="s">
        <v>64</v>
      </c>
      <c r="K45" s="56">
        <v>45549</v>
      </c>
      <c r="L45" s="61">
        <v>45549</v>
      </c>
      <c r="M45" s="56">
        <v>45594</v>
      </c>
      <c r="N45" s="56">
        <v>45580</v>
      </c>
      <c r="O45" s="48" t="s">
        <v>256</v>
      </c>
      <c r="P45" s="48" t="s">
        <v>262</v>
      </c>
      <c r="Q45" s="48" t="s">
        <v>213</v>
      </c>
      <c r="R45" s="50">
        <v>0</v>
      </c>
      <c r="S45" s="48" t="s">
        <v>111</v>
      </c>
    </row>
    <row r="46" spans="1:19" x14ac:dyDescent="0.3">
      <c r="A46" s="50">
        <v>45</v>
      </c>
      <c r="B46" s="48" t="s">
        <v>235</v>
      </c>
      <c r="C46" s="50">
        <v>1</v>
      </c>
      <c r="D46" s="48" t="s">
        <v>50</v>
      </c>
      <c r="E46" s="48" t="s">
        <v>5</v>
      </c>
      <c r="F46" s="48" t="s">
        <v>160</v>
      </c>
      <c r="G46" s="48" t="s">
        <v>107</v>
      </c>
      <c r="H46" s="48" t="s">
        <v>95</v>
      </c>
      <c r="I46" s="50">
        <v>8349</v>
      </c>
      <c r="J46" t="s">
        <v>64</v>
      </c>
      <c r="K46" s="56">
        <v>45549</v>
      </c>
      <c r="L46" s="61">
        <v>45549</v>
      </c>
      <c r="M46" s="56">
        <v>45594</v>
      </c>
      <c r="N46" s="56">
        <v>45584</v>
      </c>
      <c r="O46" s="48" t="s">
        <v>256</v>
      </c>
      <c r="P46" s="48" t="s">
        <v>262</v>
      </c>
      <c r="Q46" s="48" t="s">
        <v>213</v>
      </c>
      <c r="R46" s="50">
        <v>0</v>
      </c>
      <c r="S46" s="48" t="s">
        <v>111</v>
      </c>
    </row>
    <row r="47" spans="1:19" x14ac:dyDescent="0.3">
      <c r="A47" s="50">
        <v>46</v>
      </c>
      <c r="B47" s="48" t="s">
        <v>236</v>
      </c>
      <c r="C47" s="50">
        <v>1</v>
      </c>
      <c r="D47" s="48" t="s">
        <v>73</v>
      </c>
      <c r="E47" s="48" t="s">
        <v>5</v>
      </c>
      <c r="F47" s="48" t="s">
        <v>84</v>
      </c>
      <c r="G47" s="48" t="s">
        <v>86</v>
      </c>
      <c r="H47" s="48" t="s">
        <v>94</v>
      </c>
      <c r="I47" s="50">
        <v>17886</v>
      </c>
      <c r="J47" t="s">
        <v>64</v>
      </c>
      <c r="K47" s="56">
        <v>45549</v>
      </c>
      <c r="L47" s="61">
        <v>45549</v>
      </c>
      <c r="M47" s="56">
        <v>45594</v>
      </c>
      <c r="N47" s="56">
        <v>45598</v>
      </c>
      <c r="O47" s="48" t="s">
        <v>134</v>
      </c>
      <c r="P47" s="48" t="s">
        <v>134</v>
      </c>
      <c r="Q47" s="48" t="s">
        <v>216</v>
      </c>
      <c r="R47" s="50">
        <v>0</v>
      </c>
      <c r="S47" s="48" t="s">
        <v>134</v>
      </c>
    </row>
    <row r="48" spans="1:19" x14ac:dyDescent="0.3">
      <c r="A48" s="50">
        <v>47</v>
      </c>
      <c r="B48" s="48" t="s">
        <v>74</v>
      </c>
      <c r="C48" s="50">
        <v>0</v>
      </c>
      <c r="D48" s="48" t="s">
        <v>30</v>
      </c>
      <c r="E48" s="48" t="s">
        <v>5</v>
      </c>
      <c r="F48" s="48" t="s">
        <v>84</v>
      </c>
      <c r="G48" s="48" t="s">
        <v>86</v>
      </c>
      <c r="H48" s="48" t="s">
        <v>94</v>
      </c>
      <c r="I48" s="50">
        <v>10987</v>
      </c>
      <c r="J48" t="s">
        <v>11</v>
      </c>
      <c r="K48" s="56">
        <v>45549</v>
      </c>
      <c r="L48" s="61">
        <v>45549</v>
      </c>
      <c r="M48" s="56">
        <v>45594</v>
      </c>
      <c r="N48" s="56">
        <v>45578</v>
      </c>
      <c r="O48" s="48" t="s">
        <v>256</v>
      </c>
      <c r="P48" s="48" t="s">
        <v>262</v>
      </c>
      <c r="Q48" s="48" t="s">
        <v>213</v>
      </c>
      <c r="R48" s="50">
        <v>0</v>
      </c>
      <c r="S48" s="48" t="s">
        <v>111</v>
      </c>
    </row>
    <row r="49" spans="1:19" x14ac:dyDescent="0.3">
      <c r="A49" s="50">
        <v>48</v>
      </c>
      <c r="B49" s="48" t="s">
        <v>237</v>
      </c>
      <c r="C49" s="50">
        <v>1</v>
      </c>
      <c r="D49" s="48" t="s">
        <v>77</v>
      </c>
      <c r="E49" s="48" t="s">
        <v>5</v>
      </c>
      <c r="F49" s="48" t="s">
        <v>160</v>
      </c>
      <c r="G49" s="48" t="s">
        <v>105</v>
      </c>
      <c r="H49" s="48" t="s">
        <v>95</v>
      </c>
      <c r="I49" s="50">
        <v>10319</v>
      </c>
      <c r="J49" t="s">
        <v>11</v>
      </c>
      <c r="K49" s="56">
        <v>45549</v>
      </c>
      <c r="L49" s="61">
        <v>45549</v>
      </c>
      <c r="M49" s="56">
        <v>45594</v>
      </c>
      <c r="N49" s="56">
        <v>45584</v>
      </c>
      <c r="O49" s="48" t="s">
        <v>256</v>
      </c>
      <c r="P49" s="48" t="s">
        <v>262</v>
      </c>
      <c r="Q49" s="48" t="s">
        <v>213</v>
      </c>
      <c r="R49" s="50">
        <v>0</v>
      </c>
      <c r="S49" s="48" t="s">
        <v>111</v>
      </c>
    </row>
    <row r="50" spans="1:19" x14ac:dyDescent="0.3">
      <c r="A50" s="50">
        <v>49</v>
      </c>
      <c r="B50" s="48" t="s">
        <v>238</v>
      </c>
      <c r="C50" s="50">
        <v>1</v>
      </c>
      <c r="D50" s="48" t="s">
        <v>239</v>
      </c>
      <c r="E50" s="48" t="s">
        <v>5</v>
      </c>
      <c r="F50" s="48" t="s">
        <v>84</v>
      </c>
      <c r="G50" s="48" t="s">
        <v>92</v>
      </c>
      <c r="H50" s="48" t="s">
        <v>98</v>
      </c>
      <c r="I50" s="50">
        <v>12999</v>
      </c>
      <c r="J50" t="s">
        <v>64</v>
      </c>
      <c r="K50" s="56">
        <v>45549</v>
      </c>
      <c r="L50" s="61">
        <v>45549</v>
      </c>
      <c r="M50" s="56">
        <v>45616</v>
      </c>
      <c r="N50" s="56">
        <v>45582</v>
      </c>
      <c r="O50" s="48" t="s">
        <v>256</v>
      </c>
      <c r="P50" s="48" t="s">
        <v>262</v>
      </c>
      <c r="Q50" s="48" t="s">
        <v>209</v>
      </c>
      <c r="R50" s="50">
        <v>0</v>
      </c>
      <c r="S50" s="48" t="s">
        <v>111</v>
      </c>
    </row>
    <row r="51" spans="1:19" x14ac:dyDescent="0.3">
      <c r="A51" s="50">
        <v>50</v>
      </c>
      <c r="B51" s="48" t="s">
        <v>65</v>
      </c>
      <c r="C51" s="50">
        <v>1</v>
      </c>
      <c r="D51" s="48" t="s">
        <v>66</v>
      </c>
      <c r="E51" s="48" t="s">
        <v>5</v>
      </c>
      <c r="F51" s="48" t="s">
        <v>90</v>
      </c>
      <c r="G51" s="48" t="s">
        <v>117</v>
      </c>
      <c r="H51" s="48" t="s">
        <v>95</v>
      </c>
      <c r="I51" s="50">
        <v>21999</v>
      </c>
      <c r="J51" t="s">
        <v>11</v>
      </c>
      <c r="K51" s="56">
        <v>45549</v>
      </c>
      <c r="L51" s="61">
        <v>45549</v>
      </c>
      <c r="M51" s="56">
        <v>45616</v>
      </c>
      <c r="N51" s="56">
        <v>45618</v>
      </c>
      <c r="O51" s="48" t="s">
        <v>134</v>
      </c>
      <c r="P51" s="48" t="s">
        <v>134</v>
      </c>
      <c r="Q51" s="48" t="s">
        <v>216</v>
      </c>
      <c r="R51" s="50">
        <v>0</v>
      </c>
      <c r="S51" s="48" t="s">
        <v>134</v>
      </c>
    </row>
    <row r="52" spans="1:19" x14ac:dyDescent="0.3">
      <c r="A52" s="50">
        <v>51</v>
      </c>
      <c r="B52" s="48" t="s">
        <v>240</v>
      </c>
      <c r="C52" s="50">
        <v>1</v>
      </c>
      <c r="D52" s="48" t="s">
        <v>50</v>
      </c>
      <c r="E52" s="48" t="s">
        <v>5</v>
      </c>
      <c r="F52" s="48" t="s">
        <v>84</v>
      </c>
      <c r="G52" s="48" t="s">
        <v>92</v>
      </c>
      <c r="H52" s="48" t="s">
        <v>98</v>
      </c>
      <c r="I52" s="50">
        <v>12399</v>
      </c>
      <c r="J52" t="s">
        <v>11</v>
      </c>
      <c r="K52" s="56">
        <v>45549</v>
      </c>
      <c r="L52" s="61">
        <v>45549</v>
      </c>
      <c r="M52" s="56">
        <v>45616</v>
      </c>
      <c r="N52" s="56">
        <v>45566</v>
      </c>
      <c r="O52" s="48" t="s">
        <v>256</v>
      </c>
      <c r="P52" s="48" t="s">
        <v>262</v>
      </c>
      <c r="Q52" s="48" t="s">
        <v>209</v>
      </c>
      <c r="R52" s="50">
        <v>0</v>
      </c>
      <c r="S52" s="48" t="s">
        <v>111</v>
      </c>
    </row>
    <row r="53" spans="1:19" x14ac:dyDescent="0.3">
      <c r="A53" s="50">
        <v>52</v>
      </c>
      <c r="B53" s="48" t="s">
        <v>75</v>
      </c>
      <c r="C53" s="50">
        <v>1</v>
      </c>
      <c r="D53" s="48" t="s">
        <v>30</v>
      </c>
      <c r="E53" s="48" t="s">
        <v>5</v>
      </c>
      <c r="F53" s="48" t="s">
        <v>90</v>
      </c>
      <c r="G53" s="48" t="s">
        <v>117</v>
      </c>
      <c r="H53" s="48" t="s">
        <v>95</v>
      </c>
      <c r="I53" s="50">
        <v>21999</v>
      </c>
      <c r="J53" t="s">
        <v>11</v>
      </c>
      <c r="K53" s="56">
        <v>45549</v>
      </c>
      <c r="L53" s="61">
        <v>45549</v>
      </c>
      <c r="M53" s="56">
        <v>45616</v>
      </c>
      <c r="N53" s="56">
        <v>45574</v>
      </c>
      <c r="O53" s="48" t="s">
        <v>256</v>
      </c>
      <c r="P53" s="48" t="s">
        <v>262</v>
      </c>
      <c r="Q53" s="48" t="s">
        <v>213</v>
      </c>
      <c r="R53" s="50">
        <v>0</v>
      </c>
      <c r="S53" s="48" t="s">
        <v>111</v>
      </c>
    </row>
    <row r="54" spans="1:19" x14ac:dyDescent="0.3">
      <c r="A54" s="50">
        <v>53</v>
      </c>
      <c r="B54" s="48" t="s">
        <v>241</v>
      </c>
      <c r="C54" s="50">
        <v>1</v>
      </c>
      <c r="D54" s="48" t="s">
        <v>263</v>
      </c>
      <c r="E54" s="48" t="s">
        <v>5</v>
      </c>
      <c r="F54" s="48" t="s">
        <v>84</v>
      </c>
      <c r="G54" s="48" t="s">
        <v>92</v>
      </c>
      <c r="H54" s="48" t="s">
        <v>94</v>
      </c>
      <c r="I54" s="50">
        <v>10999</v>
      </c>
      <c r="J54" t="s">
        <v>64</v>
      </c>
      <c r="K54" s="56">
        <v>45549</v>
      </c>
      <c r="L54" s="61">
        <v>45549</v>
      </c>
      <c r="M54" s="56">
        <v>45616</v>
      </c>
      <c r="N54" s="56">
        <v>45581</v>
      </c>
      <c r="O54" s="48" t="s">
        <v>256</v>
      </c>
      <c r="P54" s="48" t="s">
        <v>262</v>
      </c>
      <c r="Q54" s="48" t="s">
        <v>213</v>
      </c>
      <c r="R54" s="50">
        <v>0</v>
      </c>
      <c r="S54" s="48" t="s">
        <v>111</v>
      </c>
    </row>
    <row r="55" spans="1:19" x14ac:dyDescent="0.3">
      <c r="A55" s="50">
        <v>54</v>
      </c>
      <c r="B55" s="48" t="s">
        <v>102</v>
      </c>
      <c r="C55" s="50">
        <v>1</v>
      </c>
      <c r="D55" s="48" t="s">
        <v>263</v>
      </c>
      <c r="E55" s="48" t="s">
        <v>5</v>
      </c>
      <c r="F55" s="48" t="s">
        <v>84</v>
      </c>
      <c r="G55" s="48" t="s">
        <v>92</v>
      </c>
      <c r="H55" s="48" t="s">
        <v>94</v>
      </c>
      <c r="I55" s="50">
        <v>10999</v>
      </c>
      <c r="J55" t="s">
        <v>64</v>
      </c>
      <c r="K55" s="56">
        <v>45550</v>
      </c>
      <c r="L55" s="61">
        <v>45550</v>
      </c>
      <c r="M55" s="56">
        <v>45616</v>
      </c>
      <c r="N55" s="56">
        <v>45581</v>
      </c>
      <c r="O55" s="48" t="s">
        <v>256</v>
      </c>
      <c r="P55" s="48" t="s">
        <v>262</v>
      </c>
      <c r="Q55" s="48" t="s">
        <v>213</v>
      </c>
      <c r="R55" s="50">
        <v>0</v>
      </c>
      <c r="S55" s="48" t="s">
        <v>111</v>
      </c>
    </row>
    <row r="56" spans="1:19" x14ac:dyDescent="0.3">
      <c r="A56" s="50">
        <v>55</v>
      </c>
      <c r="B56" s="48" t="s">
        <v>103</v>
      </c>
      <c r="C56" s="50">
        <v>1</v>
      </c>
      <c r="D56" s="48" t="s">
        <v>253</v>
      </c>
      <c r="E56" s="48" t="s">
        <v>5</v>
      </c>
      <c r="F56" s="48" t="s">
        <v>90</v>
      </c>
      <c r="G56" s="48" t="s">
        <v>117</v>
      </c>
      <c r="H56" s="48" t="s">
        <v>95</v>
      </c>
      <c r="I56" s="50">
        <v>21999</v>
      </c>
      <c r="J56" t="s">
        <v>64</v>
      </c>
      <c r="K56" s="56">
        <v>45550</v>
      </c>
      <c r="L56" s="61">
        <v>45550</v>
      </c>
      <c r="M56" s="56">
        <v>45616</v>
      </c>
      <c r="N56" s="56">
        <v>45584</v>
      </c>
      <c r="O56" s="48" t="s">
        <v>256</v>
      </c>
      <c r="P56" s="48" t="s">
        <v>262</v>
      </c>
      <c r="Q56" s="48" t="s">
        <v>213</v>
      </c>
      <c r="R56" s="50">
        <v>0</v>
      </c>
      <c r="S56" s="48" t="s">
        <v>111</v>
      </c>
    </row>
    <row r="57" spans="1:19" x14ac:dyDescent="0.3">
      <c r="A57" s="50">
        <v>56</v>
      </c>
      <c r="B57" s="48" t="s">
        <v>110</v>
      </c>
      <c r="C57" s="50">
        <v>1</v>
      </c>
      <c r="D57" s="48" t="s">
        <v>82</v>
      </c>
      <c r="E57" s="48" t="s">
        <v>5</v>
      </c>
      <c r="F57" s="48" t="s">
        <v>160</v>
      </c>
      <c r="G57" s="48" t="s">
        <v>105</v>
      </c>
      <c r="H57" s="48" t="s">
        <v>95</v>
      </c>
      <c r="I57" s="50">
        <v>7849</v>
      </c>
      <c r="J57">
        <v>6306</v>
      </c>
      <c r="K57" s="56">
        <v>45551</v>
      </c>
      <c r="L57" s="61">
        <v>45551</v>
      </c>
      <c r="M57" s="56">
        <v>45595</v>
      </c>
      <c r="N57" s="56">
        <v>45610</v>
      </c>
      <c r="O57" s="48" t="s">
        <v>255</v>
      </c>
      <c r="P57" s="48" t="s">
        <v>261</v>
      </c>
      <c r="Q57" s="48" t="s">
        <v>209</v>
      </c>
      <c r="R57" s="50">
        <v>0</v>
      </c>
      <c r="S57" s="48" t="s">
        <v>111</v>
      </c>
    </row>
    <row r="58" spans="1:19" x14ac:dyDescent="0.3">
      <c r="A58" s="50">
        <v>57</v>
      </c>
      <c r="B58" s="48" t="s">
        <v>47</v>
      </c>
      <c r="C58" s="50">
        <v>0</v>
      </c>
      <c r="D58" s="48" t="s">
        <v>242</v>
      </c>
      <c r="E58" s="48" t="s">
        <v>219</v>
      </c>
      <c r="F58" s="48" t="s">
        <v>84</v>
      </c>
      <c r="G58" s="48" t="s">
        <v>92</v>
      </c>
      <c r="H58" s="48" t="s">
        <v>94</v>
      </c>
      <c r="I58" s="50">
        <v>5074</v>
      </c>
      <c r="J58" t="s">
        <v>49</v>
      </c>
      <c r="K58" s="56">
        <v>45556</v>
      </c>
      <c r="L58" s="61">
        <v>45556</v>
      </c>
      <c r="M58" s="56">
        <v>45570</v>
      </c>
      <c r="N58" s="56">
        <v>45577</v>
      </c>
      <c r="O58" s="48" t="s">
        <v>255</v>
      </c>
      <c r="P58" s="48" t="s">
        <v>261</v>
      </c>
      <c r="Q58" s="48" t="s">
        <v>213</v>
      </c>
      <c r="R58" s="50">
        <v>0</v>
      </c>
      <c r="S58" s="48" t="s">
        <v>111</v>
      </c>
    </row>
    <row r="59" spans="1:19" x14ac:dyDescent="0.3">
      <c r="A59" s="50">
        <v>58</v>
      </c>
      <c r="B59" s="48" t="s">
        <v>27</v>
      </c>
      <c r="C59" s="50">
        <v>0</v>
      </c>
      <c r="D59" s="48" t="s">
        <v>263</v>
      </c>
      <c r="E59" s="48" t="s">
        <v>27</v>
      </c>
      <c r="F59" s="48" t="s">
        <v>84</v>
      </c>
      <c r="G59" s="48" t="s">
        <v>92</v>
      </c>
      <c r="H59" s="48" t="s">
        <v>114</v>
      </c>
      <c r="I59" s="50">
        <v>6250</v>
      </c>
      <c r="J59" t="s">
        <v>49</v>
      </c>
      <c r="K59" s="56">
        <v>45558</v>
      </c>
      <c r="L59" s="61">
        <v>45558</v>
      </c>
      <c r="M59" s="56">
        <v>45573</v>
      </c>
      <c r="N59" s="56">
        <v>45582</v>
      </c>
      <c r="O59" s="48" t="s">
        <v>255</v>
      </c>
      <c r="P59" s="48" t="s">
        <v>261</v>
      </c>
      <c r="Q59" s="48" t="s">
        <v>213</v>
      </c>
      <c r="R59" s="50">
        <v>0</v>
      </c>
      <c r="S59" s="48" t="s">
        <v>111</v>
      </c>
    </row>
    <row r="60" spans="1:19" x14ac:dyDescent="0.3">
      <c r="A60" s="50">
        <v>59</v>
      </c>
      <c r="B60" s="48" t="s">
        <v>115</v>
      </c>
      <c r="C60" s="50">
        <v>1</v>
      </c>
      <c r="D60" s="48" t="s">
        <v>263</v>
      </c>
      <c r="E60" s="48" t="s">
        <v>5</v>
      </c>
      <c r="F60" s="48" t="s">
        <v>84</v>
      </c>
      <c r="G60" s="48" t="s">
        <v>86</v>
      </c>
      <c r="H60" s="48" t="s">
        <v>94</v>
      </c>
      <c r="I60" s="50">
        <v>8943</v>
      </c>
      <c r="J60">
        <v>9033</v>
      </c>
      <c r="K60" s="56">
        <v>45561</v>
      </c>
      <c r="L60" s="61">
        <v>45561</v>
      </c>
      <c r="M60" s="56">
        <v>45606</v>
      </c>
      <c r="N60" s="56">
        <v>45575</v>
      </c>
      <c r="O60" s="48" t="s">
        <v>256</v>
      </c>
      <c r="P60" s="48" t="s">
        <v>262</v>
      </c>
      <c r="Q60" s="48" t="s">
        <v>213</v>
      </c>
      <c r="R60" s="50">
        <v>0</v>
      </c>
      <c r="S60" s="48" t="s">
        <v>111</v>
      </c>
    </row>
    <row r="61" spans="1:19" x14ac:dyDescent="0.3">
      <c r="A61" s="50">
        <v>60</v>
      </c>
      <c r="B61" s="48" t="s">
        <v>116</v>
      </c>
      <c r="C61" s="50">
        <v>1</v>
      </c>
      <c r="D61" s="48" t="s">
        <v>264</v>
      </c>
      <c r="E61" s="48" t="s">
        <v>5</v>
      </c>
      <c r="F61" s="48" t="s">
        <v>160</v>
      </c>
      <c r="G61" s="48" t="s">
        <v>107</v>
      </c>
      <c r="H61" s="48" t="s">
        <v>95</v>
      </c>
      <c r="I61" s="50">
        <v>8349</v>
      </c>
      <c r="J61">
        <v>8433</v>
      </c>
      <c r="K61" s="56">
        <v>45561</v>
      </c>
      <c r="L61" s="61">
        <v>45561</v>
      </c>
      <c r="M61" s="56">
        <v>45606</v>
      </c>
      <c r="N61" s="56">
        <v>45611</v>
      </c>
      <c r="O61" s="48" t="s">
        <v>134</v>
      </c>
      <c r="P61" s="48" t="s">
        <v>134</v>
      </c>
      <c r="Q61" s="48" t="s">
        <v>216</v>
      </c>
      <c r="R61" s="50">
        <v>0</v>
      </c>
      <c r="S61" s="48" t="s">
        <v>134</v>
      </c>
    </row>
    <row r="62" spans="1:19" x14ac:dyDescent="0.3">
      <c r="A62" s="50">
        <v>61</v>
      </c>
      <c r="B62" s="48" t="s">
        <v>31</v>
      </c>
      <c r="C62" s="50">
        <v>0</v>
      </c>
      <c r="D62" s="48" t="s">
        <v>295</v>
      </c>
      <c r="E62" s="48" t="s">
        <v>31</v>
      </c>
      <c r="F62" s="48" t="s">
        <v>90</v>
      </c>
      <c r="G62" s="48" t="s">
        <v>117</v>
      </c>
      <c r="H62" s="48" t="s">
        <v>95</v>
      </c>
      <c r="I62" s="50">
        <v>14950</v>
      </c>
      <c r="J62" t="s">
        <v>11</v>
      </c>
      <c r="K62" s="56">
        <v>45561</v>
      </c>
      <c r="L62" s="61">
        <v>45561</v>
      </c>
      <c r="M62" s="56">
        <v>45579</v>
      </c>
      <c r="N62" s="56">
        <v>45578</v>
      </c>
      <c r="O62" s="48" t="s">
        <v>256</v>
      </c>
      <c r="P62" s="48" t="s">
        <v>262</v>
      </c>
      <c r="Q62" s="48" t="s">
        <v>213</v>
      </c>
      <c r="R62" s="50">
        <v>0</v>
      </c>
      <c r="S62" s="48" t="s">
        <v>111</v>
      </c>
    </row>
    <row r="63" spans="1:19" x14ac:dyDescent="0.3">
      <c r="A63" s="50">
        <v>62</v>
      </c>
      <c r="B63" s="48" t="s">
        <v>31</v>
      </c>
      <c r="C63" s="50">
        <v>0</v>
      </c>
      <c r="D63" s="48" t="s">
        <v>264</v>
      </c>
      <c r="E63" s="48" t="s">
        <v>31</v>
      </c>
      <c r="F63" s="48" t="s">
        <v>84</v>
      </c>
      <c r="G63" s="48" t="s">
        <v>92</v>
      </c>
      <c r="H63" s="48" t="s">
        <v>95</v>
      </c>
      <c r="I63" s="50">
        <v>9208</v>
      </c>
      <c r="J63">
        <v>9608</v>
      </c>
      <c r="K63" s="56">
        <v>45561</v>
      </c>
      <c r="L63" s="61">
        <v>45561</v>
      </c>
      <c r="M63" s="56">
        <v>45579</v>
      </c>
      <c r="N63" s="56">
        <v>45585</v>
      </c>
      <c r="O63" s="48" t="s">
        <v>134</v>
      </c>
      <c r="P63" s="48" t="s">
        <v>134</v>
      </c>
      <c r="Q63" s="48" t="s">
        <v>216</v>
      </c>
      <c r="R63" s="50">
        <v>0</v>
      </c>
      <c r="S63" s="48" t="s">
        <v>134</v>
      </c>
    </row>
    <row r="64" spans="1:19" x14ac:dyDescent="0.3">
      <c r="A64" s="50">
        <v>63</v>
      </c>
      <c r="B64" s="48" t="s">
        <v>31</v>
      </c>
      <c r="C64" s="50">
        <v>0</v>
      </c>
      <c r="D64" s="48" t="s">
        <v>264</v>
      </c>
      <c r="E64" s="48" t="s">
        <v>31</v>
      </c>
      <c r="F64" s="48" t="s">
        <v>84</v>
      </c>
      <c r="G64" s="48" t="s">
        <v>86</v>
      </c>
      <c r="H64" s="48" t="s">
        <v>94</v>
      </c>
      <c r="I64" s="50">
        <v>7433</v>
      </c>
      <c r="J64" t="s">
        <v>11</v>
      </c>
      <c r="K64" s="56">
        <v>45564</v>
      </c>
      <c r="L64" s="61">
        <v>45564</v>
      </c>
      <c r="M64" s="56">
        <v>45585</v>
      </c>
      <c r="N64" s="56">
        <v>45586</v>
      </c>
      <c r="O64" s="48" t="s">
        <v>255</v>
      </c>
      <c r="P64" s="48" t="s">
        <v>261</v>
      </c>
      <c r="Q64" s="48" t="s">
        <v>213</v>
      </c>
      <c r="R64" s="50">
        <v>0</v>
      </c>
      <c r="S64" s="48" t="s">
        <v>111</v>
      </c>
    </row>
    <row r="65" spans="1:19" x14ac:dyDescent="0.3">
      <c r="A65" s="50">
        <v>64</v>
      </c>
      <c r="B65" s="48" t="s">
        <v>47</v>
      </c>
      <c r="C65" s="50">
        <v>0</v>
      </c>
      <c r="D65" s="48" t="s">
        <v>242</v>
      </c>
      <c r="E65" s="48" t="s">
        <v>219</v>
      </c>
      <c r="F65" s="48" t="s">
        <v>84</v>
      </c>
      <c r="G65" s="48" t="s">
        <v>86</v>
      </c>
      <c r="H65" s="48" t="s">
        <v>94</v>
      </c>
      <c r="I65" s="50">
        <v>4020</v>
      </c>
      <c r="J65" t="s">
        <v>49</v>
      </c>
      <c r="K65" s="56">
        <v>45564</v>
      </c>
      <c r="L65" s="61">
        <v>45564</v>
      </c>
      <c r="M65" s="56">
        <v>45577</v>
      </c>
      <c r="N65" s="56">
        <v>45577</v>
      </c>
      <c r="O65" s="48" t="s">
        <v>256</v>
      </c>
      <c r="P65" s="48" t="s">
        <v>262</v>
      </c>
      <c r="Q65" s="48" t="s">
        <v>213</v>
      </c>
      <c r="R65" s="50">
        <v>0</v>
      </c>
      <c r="S65" s="48" t="s">
        <v>111</v>
      </c>
    </row>
    <row r="66" spans="1:19" x14ac:dyDescent="0.3">
      <c r="A66" s="50">
        <v>65</v>
      </c>
      <c r="B66" s="48" t="s">
        <v>120</v>
      </c>
      <c r="C66" s="50">
        <v>0</v>
      </c>
      <c r="D66" s="48" t="s">
        <v>122</v>
      </c>
      <c r="E66" s="48" t="s">
        <v>122</v>
      </c>
      <c r="F66" s="48" t="s">
        <v>84</v>
      </c>
      <c r="G66" s="48" t="s">
        <v>92</v>
      </c>
      <c r="H66" s="48" t="s">
        <v>123</v>
      </c>
      <c r="I66" s="50">
        <v>8544.9054400000005</v>
      </c>
      <c r="J66">
        <v>8544.9054400000005</v>
      </c>
      <c r="K66" s="56">
        <v>45566</v>
      </c>
      <c r="L66" s="61">
        <v>45566</v>
      </c>
      <c r="M66" s="56">
        <v>45574</v>
      </c>
      <c r="N66" s="56">
        <v>45574</v>
      </c>
      <c r="O66" s="48" t="s">
        <v>256</v>
      </c>
      <c r="P66" s="48" t="s">
        <v>262</v>
      </c>
      <c r="Q66" s="48" t="s">
        <v>243</v>
      </c>
      <c r="R66" s="50">
        <v>1</v>
      </c>
      <c r="S66" s="48" t="s">
        <v>111</v>
      </c>
    </row>
    <row r="67" spans="1:19" x14ac:dyDescent="0.3">
      <c r="A67" s="50">
        <v>66</v>
      </c>
      <c r="B67" s="48" t="s">
        <v>120</v>
      </c>
      <c r="C67" s="50">
        <v>0</v>
      </c>
      <c r="D67" s="48" t="s">
        <v>122</v>
      </c>
      <c r="E67" s="48" t="s">
        <v>122</v>
      </c>
      <c r="F67" s="48" t="s">
        <v>84</v>
      </c>
      <c r="G67" s="48" t="s">
        <v>85</v>
      </c>
      <c r="H67" s="48" t="s">
        <v>95</v>
      </c>
      <c r="I67" s="50">
        <v>4600</v>
      </c>
      <c r="J67">
        <v>4600</v>
      </c>
      <c r="K67" s="56">
        <v>45566</v>
      </c>
      <c r="L67" s="61">
        <v>45566</v>
      </c>
      <c r="M67" s="56">
        <v>45574</v>
      </c>
      <c r="N67" s="56">
        <v>45574</v>
      </c>
      <c r="O67" s="48" t="s">
        <v>256</v>
      </c>
      <c r="P67" s="48" t="s">
        <v>262</v>
      </c>
      <c r="Q67" s="48" t="s">
        <v>243</v>
      </c>
      <c r="R67" s="50">
        <v>0</v>
      </c>
      <c r="S67" s="48" t="s">
        <v>111</v>
      </c>
    </row>
    <row r="68" spans="1:19" x14ac:dyDescent="0.3">
      <c r="A68" s="50">
        <v>67</v>
      </c>
      <c r="B68" s="48" t="s">
        <v>120</v>
      </c>
      <c r="C68" s="50">
        <v>0</v>
      </c>
      <c r="D68" s="48" t="s">
        <v>122</v>
      </c>
      <c r="E68" s="48" t="s">
        <v>122</v>
      </c>
      <c r="F68" s="48" t="s">
        <v>90</v>
      </c>
      <c r="G68" s="48" t="s">
        <v>194</v>
      </c>
      <c r="H68" s="48" t="s">
        <v>95</v>
      </c>
      <c r="I68" s="50">
        <v>10000</v>
      </c>
      <c r="J68">
        <v>10000</v>
      </c>
      <c r="K68" s="56">
        <v>45566</v>
      </c>
      <c r="L68" s="61">
        <v>45566</v>
      </c>
      <c r="M68" s="56">
        <v>45574</v>
      </c>
      <c r="N68" s="56">
        <v>45574</v>
      </c>
      <c r="O68" s="48" t="s">
        <v>256</v>
      </c>
      <c r="P68" s="48" t="s">
        <v>262</v>
      </c>
      <c r="Q68" s="48" t="s">
        <v>243</v>
      </c>
      <c r="R68" s="50">
        <v>0</v>
      </c>
      <c r="S68" s="48" t="s">
        <v>111</v>
      </c>
    </row>
    <row r="69" spans="1:19" x14ac:dyDescent="0.3">
      <c r="A69" s="50">
        <v>68</v>
      </c>
      <c r="B69" s="48" t="s">
        <v>120</v>
      </c>
      <c r="C69" s="50">
        <v>1</v>
      </c>
      <c r="D69" s="48" t="s">
        <v>122</v>
      </c>
      <c r="E69" s="48" t="s">
        <v>122</v>
      </c>
      <c r="F69" s="48" t="s">
        <v>124</v>
      </c>
      <c r="G69" s="48" t="s">
        <v>105</v>
      </c>
      <c r="H69" s="48" t="s">
        <v>95</v>
      </c>
      <c r="I69" s="50">
        <v>10000</v>
      </c>
      <c r="J69">
        <v>10000</v>
      </c>
      <c r="K69" s="56">
        <v>45566</v>
      </c>
      <c r="L69" s="61">
        <v>45566</v>
      </c>
      <c r="M69" s="56">
        <v>45574</v>
      </c>
      <c r="N69" s="56">
        <v>45574</v>
      </c>
      <c r="O69" s="48" t="s">
        <v>256</v>
      </c>
      <c r="P69" s="48" t="s">
        <v>262</v>
      </c>
      <c r="Q69" s="48" t="s">
        <v>243</v>
      </c>
      <c r="R69" s="50">
        <v>0</v>
      </c>
      <c r="S69" s="48" t="s">
        <v>111</v>
      </c>
    </row>
    <row r="70" spans="1:19" x14ac:dyDescent="0.3">
      <c r="A70" s="50">
        <v>69</v>
      </c>
      <c r="B70" s="48" t="s">
        <v>126</v>
      </c>
      <c r="C70" s="50">
        <v>1</v>
      </c>
      <c r="D70" s="48" t="s">
        <v>263</v>
      </c>
      <c r="E70" s="48" t="s">
        <v>5</v>
      </c>
      <c r="F70" s="48" t="s">
        <v>84</v>
      </c>
      <c r="G70" s="48" t="s">
        <v>85</v>
      </c>
      <c r="H70" s="48" t="s">
        <v>95</v>
      </c>
      <c r="I70" s="50">
        <v>8899</v>
      </c>
      <c r="J70">
        <v>8988</v>
      </c>
      <c r="K70" s="56">
        <v>45568</v>
      </c>
      <c r="L70" s="61">
        <v>45568</v>
      </c>
      <c r="M70" s="56">
        <v>45613</v>
      </c>
      <c r="N70" s="56">
        <v>45616</v>
      </c>
      <c r="O70" s="48" t="s">
        <v>134</v>
      </c>
      <c r="P70" s="48" t="s">
        <v>134</v>
      </c>
      <c r="Q70" s="48" t="s">
        <v>216</v>
      </c>
      <c r="R70" s="50">
        <v>0</v>
      </c>
      <c r="S70" s="48" t="s">
        <v>134</v>
      </c>
    </row>
    <row r="71" spans="1:19" x14ac:dyDescent="0.3">
      <c r="A71" s="50">
        <v>70</v>
      </c>
      <c r="B71" s="48" t="s">
        <v>31</v>
      </c>
      <c r="C71" s="50">
        <v>0</v>
      </c>
      <c r="D71" s="48" t="s">
        <v>264</v>
      </c>
      <c r="E71" s="48" t="s">
        <v>31</v>
      </c>
      <c r="F71" s="48" t="s">
        <v>90</v>
      </c>
      <c r="G71" s="48" t="s">
        <v>117</v>
      </c>
      <c r="H71" s="48" t="s">
        <v>95</v>
      </c>
      <c r="I71" s="50">
        <v>14550</v>
      </c>
      <c r="J71" t="s">
        <v>11</v>
      </c>
      <c r="K71" s="56">
        <v>45573</v>
      </c>
      <c r="L71" s="61">
        <v>45573</v>
      </c>
      <c r="M71" s="56">
        <v>45594</v>
      </c>
      <c r="N71" s="56">
        <v>45595</v>
      </c>
      <c r="O71" s="48" t="s">
        <v>255</v>
      </c>
      <c r="P71" s="48" t="s">
        <v>261</v>
      </c>
      <c r="Q71" s="48" t="s">
        <v>213</v>
      </c>
      <c r="R71" s="50">
        <v>0</v>
      </c>
      <c r="S71" s="48" t="s">
        <v>111</v>
      </c>
    </row>
    <row r="72" spans="1:19" x14ac:dyDescent="0.3">
      <c r="A72" s="50">
        <v>71</v>
      </c>
      <c r="B72" s="48" t="s">
        <v>31</v>
      </c>
      <c r="C72" s="50">
        <v>0</v>
      </c>
      <c r="D72" s="48" t="s">
        <v>264</v>
      </c>
      <c r="E72" s="48" t="s">
        <v>31</v>
      </c>
      <c r="F72" s="48" t="s">
        <v>90</v>
      </c>
      <c r="G72" s="48" t="s">
        <v>117</v>
      </c>
      <c r="H72" s="48" t="s">
        <v>95</v>
      </c>
      <c r="I72" s="50">
        <v>14550</v>
      </c>
      <c r="J72" t="s">
        <v>11</v>
      </c>
      <c r="K72" s="56">
        <v>45572</v>
      </c>
      <c r="L72" s="61">
        <v>45572</v>
      </c>
      <c r="M72" s="56">
        <v>45594</v>
      </c>
      <c r="N72" s="56">
        <v>45580</v>
      </c>
      <c r="O72" s="48" t="s">
        <v>256</v>
      </c>
      <c r="P72" s="48" t="s">
        <v>262</v>
      </c>
      <c r="Q72" s="48" t="s">
        <v>213</v>
      </c>
      <c r="R72" s="50">
        <v>0</v>
      </c>
      <c r="S72" s="48" t="s">
        <v>111</v>
      </c>
    </row>
    <row r="73" spans="1:19" x14ac:dyDescent="0.3">
      <c r="A73" s="50">
        <v>72</v>
      </c>
      <c r="B73" s="48" t="s">
        <v>31</v>
      </c>
      <c r="C73" s="50">
        <v>0</v>
      </c>
      <c r="D73" s="48" t="s">
        <v>264</v>
      </c>
      <c r="E73" s="48" t="s">
        <v>31</v>
      </c>
      <c r="F73" s="48" t="s">
        <v>90</v>
      </c>
      <c r="G73" s="48" t="s">
        <v>117</v>
      </c>
      <c r="H73" s="48" t="s">
        <v>95</v>
      </c>
      <c r="I73" s="50">
        <v>14550</v>
      </c>
      <c r="J73">
        <v>11495</v>
      </c>
      <c r="K73" s="56">
        <v>45575</v>
      </c>
      <c r="L73" s="61">
        <v>45575</v>
      </c>
      <c r="M73" s="56">
        <v>45596</v>
      </c>
      <c r="N73" s="56">
        <v>45598</v>
      </c>
      <c r="O73" s="48" t="s">
        <v>255</v>
      </c>
      <c r="P73" s="48" t="s">
        <v>261</v>
      </c>
      <c r="Q73" s="48" t="s">
        <v>213</v>
      </c>
      <c r="R73" s="50">
        <v>0</v>
      </c>
      <c r="S73" s="48" t="s">
        <v>111</v>
      </c>
    </row>
    <row r="74" spans="1:19" x14ac:dyDescent="0.3">
      <c r="A74" s="50">
        <v>73</v>
      </c>
      <c r="B74" s="48" t="s">
        <v>131</v>
      </c>
      <c r="C74" s="50">
        <v>1</v>
      </c>
      <c r="D74" s="48" t="s">
        <v>30</v>
      </c>
      <c r="E74" s="48" t="s">
        <v>5</v>
      </c>
      <c r="F74" s="48" t="s">
        <v>84</v>
      </c>
      <c r="G74" s="48" t="s">
        <v>92</v>
      </c>
      <c r="H74" s="48" t="s">
        <v>132</v>
      </c>
      <c r="I74" s="50">
        <v>12899</v>
      </c>
      <c r="J74">
        <v>13028</v>
      </c>
      <c r="K74" s="56">
        <v>45578</v>
      </c>
      <c r="L74" s="61">
        <v>45578</v>
      </c>
      <c r="M74" s="56">
        <v>45643</v>
      </c>
      <c r="N74" s="56">
        <v>45598</v>
      </c>
      <c r="O74" s="48" t="s">
        <v>256</v>
      </c>
      <c r="P74" s="48" t="s">
        <v>262</v>
      </c>
      <c r="Q74" s="48" t="s">
        <v>213</v>
      </c>
      <c r="R74" s="50">
        <v>0</v>
      </c>
      <c r="S74" s="48" t="s">
        <v>111</v>
      </c>
    </row>
    <row r="75" spans="1:19" x14ac:dyDescent="0.3">
      <c r="A75" s="50">
        <v>74</v>
      </c>
      <c r="B75" s="48" t="s">
        <v>133</v>
      </c>
      <c r="C75" s="50">
        <v>1</v>
      </c>
      <c r="D75" s="48" t="s">
        <v>30</v>
      </c>
      <c r="E75" s="48" t="s">
        <v>5</v>
      </c>
      <c r="F75" s="48" t="s">
        <v>84</v>
      </c>
      <c r="G75" s="48" t="s">
        <v>92</v>
      </c>
      <c r="H75" s="48" t="s">
        <v>94</v>
      </c>
      <c r="I75" s="50">
        <v>10499</v>
      </c>
      <c r="J75" t="s">
        <v>11</v>
      </c>
      <c r="K75" s="56">
        <v>45581</v>
      </c>
      <c r="L75" s="61">
        <v>45581</v>
      </c>
      <c r="M75" s="56">
        <v>45645</v>
      </c>
      <c r="N75" s="56">
        <v>45586</v>
      </c>
      <c r="O75" s="48" t="s">
        <v>256</v>
      </c>
      <c r="P75" s="48" t="s">
        <v>262</v>
      </c>
      <c r="Q75" s="48" t="s">
        <v>213</v>
      </c>
      <c r="R75" s="50">
        <v>0</v>
      </c>
      <c r="S75" s="48" t="s">
        <v>111</v>
      </c>
    </row>
    <row r="76" spans="1:19" x14ac:dyDescent="0.3">
      <c r="A76" s="50">
        <v>75</v>
      </c>
      <c r="B76" s="48" t="s">
        <v>135</v>
      </c>
      <c r="C76" s="50">
        <v>1</v>
      </c>
      <c r="D76" s="48" t="s">
        <v>210</v>
      </c>
      <c r="E76" s="48" t="s">
        <v>5</v>
      </c>
      <c r="F76" s="48" t="s">
        <v>84</v>
      </c>
      <c r="G76" s="48" t="s">
        <v>92</v>
      </c>
      <c r="H76" s="48" t="s">
        <v>132</v>
      </c>
      <c r="I76" s="50">
        <v>12899</v>
      </c>
      <c r="J76" t="s">
        <v>11</v>
      </c>
      <c r="K76" s="56">
        <v>45582</v>
      </c>
      <c r="L76" s="61">
        <v>45582</v>
      </c>
      <c r="M76" s="56">
        <v>45648</v>
      </c>
      <c r="N76" s="56">
        <v>45629</v>
      </c>
      <c r="O76" s="48" t="s">
        <v>256</v>
      </c>
      <c r="P76" s="48" t="s">
        <v>262</v>
      </c>
      <c r="Q76" s="48" t="s">
        <v>209</v>
      </c>
      <c r="R76" s="50">
        <v>0</v>
      </c>
      <c r="S76" s="48" t="s">
        <v>111</v>
      </c>
    </row>
    <row r="77" spans="1:19" x14ac:dyDescent="0.3">
      <c r="A77" s="50">
        <v>76</v>
      </c>
      <c r="B77" s="48" t="s">
        <v>136</v>
      </c>
      <c r="C77" s="50">
        <v>1</v>
      </c>
      <c r="D77" s="48" t="s">
        <v>284</v>
      </c>
      <c r="E77" s="48" t="s">
        <v>144</v>
      </c>
      <c r="F77" s="48" t="s">
        <v>84</v>
      </c>
      <c r="G77" s="48" t="s">
        <v>86</v>
      </c>
      <c r="H77" s="48" t="s">
        <v>244</v>
      </c>
      <c r="I77" s="50">
        <v>5135</v>
      </c>
      <c r="J77" t="s">
        <v>11</v>
      </c>
      <c r="K77" s="56">
        <v>45585</v>
      </c>
      <c r="L77" s="61">
        <v>45585</v>
      </c>
      <c r="M77" s="56">
        <v>45613</v>
      </c>
      <c r="N77" s="56">
        <v>45610</v>
      </c>
      <c r="O77" s="48" t="s">
        <v>256</v>
      </c>
      <c r="P77" s="48" t="s">
        <v>262</v>
      </c>
      <c r="Q77" s="48" t="s">
        <v>213</v>
      </c>
      <c r="R77" s="50">
        <v>0</v>
      </c>
      <c r="S77" s="48" t="s">
        <v>111</v>
      </c>
    </row>
    <row r="78" spans="1:19" x14ac:dyDescent="0.3">
      <c r="A78" s="50">
        <v>77</v>
      </c>
      <c r="B78" s="48" t="s">
        <v>31</v>
      </c>
      <c r="C78" s="50">
        <v>0</v>
      </c>
      <c r="D78" s="48" t="s">
        <v>264</v>
      </c>
      <c r="E78" s="48" t="s">
        <v>31</v>
      </c>
      <c r="F78" s="48" t="s">
        <v>84</v>
      </c>
      <c r="G78" s="48" t="s">
        <v>92</v>
      </c>
      <c r="H78" s="48" t="s">
        <v>123</v>
      </c>
      <c r="I78" s="50">
        <v>12777.5</v>
      </c>
      <c r="J78">
        <v>11277.5</v>
      </c>
      <c r="K78" s="56">
        <v>45587</v>
      </c>
      <c r="L78" s="61">
        <v>45587</v>
      </c>
      <c r="M78" s="56">
        <v>45608</v>
      </c>
      <c r="N78" s="56">
        <v>45614</v>
      </c>
      <c r="O78" s="48" t="s">
        <v>255</v>
      </c>
      <c r="P78" s="48" t="s">
        <v>261</v>
      </c>
      <c r="Q78" s="48" t="s">
        <v>213</v>
      </c>
      <c r="R78" s="50">
        <v>0</v>
      </c>
      <c r="S78" s="48" t="s">
        <v>111</v>
      </c>
    </row>
    <row r="79" spans="1:19" x14ac:dyDescent="0.3">
      <c r="A79" s="50">
        <v>78</v>
      </c>
      <c r="B79" s="48" t="s">
        <v>47</v>
      </c>
      <c r="C79" s="50">
        <v>0</v>
      </c>
      <c r="D79" s="48" t="s">
        <v>263</v>
      </c>
      <c r="E79" s="48" t="s">
        <v>219</v>
      </c>
      <c r="F79" s="48" t="s">
        <v>84</v>
      </c>
      <c r="G79" s="48" t="s">
        <v>92</v>
      </c>
      <c r="H79" s="48" t="s">
        <v>123</v>
      </c>
      <c r="I79" s="50">
        <v>8544.91</v>
      </c>
      <c r="J79" t="s">
        <v>49</v>
      </c>
      <c r="K79" s="56">
        <v>45587</v>
      </c>
      <c r="L79" s="61">
        <v>45587</v>
      </c>
      <c r="M79" s="56">
        <v>45598</v>
      </c>
      <c r="N79" s="56">
        <v>45606</v>
      </c>
      <c r="O79" s="48" t="s">
        <v>134</v>
      </c>
      <c r="P79" s="48" t="s">
        <v>134</v>
      </c>
      <c r="Q79" s="48" t="s">
        <v>216</v>
      </c>
      <c r="R79" s="50">
        <v>0</v>
      </c>
      <c r="S79" s="48" t="s">
        <v>134</v>
      </c>
    </row>
    <row r="80" spans="1:19" x14ac:dyDescent="0.3">
      <c r="A80" s="50">
        <v>79</v>
      </c>
      <c r="B80" s="48" t="s">
        <v>140</v>
      </c>
      <c r="C80" s="50">
        <v>1</v>
      </c>
      <c r="D80" s="48" t="s">
        <v>264</v>
      </c>
      <c r="E80" s="48" t="s">
        <v>5</v>
      </c>
      <c r="F80" s="48" t="s">
        <v>84</v>
      </c>
      <c r="G80" s="48" t="s">
        <v>86</v>
      </c>
      <c r="H80" s="48" t="s">
        <v>94</v>
      </c>
      <c r="I80" s="50">
        <v>8943</v>
      </c>
      <c r="J80">
        <v>9007.01</v>
      </c>
      <c r="K80" s="56">
        <v>45586</v>
      </c>
      <c r="L80" s="61">
        <v>45586</v>
      </c>
      <c r="M80" s="56">
        <v>45610</v>
      </c>
      <c r="N80" s="56">
        <v>45614</v>
      </c>
      <c r="O80" s="48" t="s">
        <v>255</v>
      </c>
      <c r="P80" s="48" t="s">
        <v>261</v>
      </c>
      <c r="Q80" s="48" t="s">
        <v>213</v>
      </c>
      <c r="R80" s="50">
        <v>0</v>
      </c>
      <c r="S80" s="48" t="s">
        <v>111</v>
      </c>
    </row>
    <row r="81" spans="1:19" x14ac:dyDescent="0.3">
      <c r="A81" s="50">
        <v>80</v>
      </c>
      <c r="B81" s="48" t="s">
        <v>31</v>
      </c>
      <c r="C81" s="50">
        <v>0</v>
      </c>
      <c r="D81" s="48" t="s">
        <v>264</v>
      </c>
      <c r="E81" s="48" t="s">
        <v>31</v>
      </c>
      <c r="F81" s="48" t="s">
        <v>90</v>
      </c>
      <c r="G81" s="48" t="s">
        <v>117</v>
      </c>
      <c r="H81" s="48" t="s">
        <v>95</v>
      </c>
      <c r="I81" s="50">
        <v>15516</v>
      </c>
      <c r="J81" t="s">
        <v>11</v>
      </c>
      <c r="K81" s="56">
        <v>45589</v>
      </c>
      <c r="L81" s="61">
        <v>45589</v>
      </c>
      <c r="M81" s="56">
        <v>45610</v>
      </c>
      <c r="N81" s="56">
        <v>45595</v>
      </c>
      <c r="O81" s="48" t="s">
        <v>256</v>
      </c>
      <c r="P81" s="48" t="s">
        <v>262</v>
      </c>
      <c r="Q81" s="48" t="s">
        <v>213</v>
      </c>
      <c r="R81" s="50">
        <v>0</v>
      </c>
      <c r="S81" s="48" t="s">
        <v>111</v>
      </c>
    </row>
    <row r="82" spans="1:19" x14ac:dyDescent="0.3">
      <c r="A82" s="50">
        <v>81</v>
      </c>
      <c r="B82" s="48" t="s">
        <v>31</v>
      </c>
      <c r="C82" s="50">
        <v>0</v>
      </c>
      <c r="D82" s="48" t="s">
        <v>264</v>
      </c>
      <c r="E82" s="48" t="s">
        <v>31</v>
      </c>
      <c r="F82" s="48" t="s">
        <v>84</v>
      </c>
      <c r="G82" s="48" t="s">
        <v>92</v>
      </c>
      <c r="H82" s="48" t="s">
        <v>95</v>
      </c>
      <c r="I82" s="50">
        <v>10045</v>
      </c>
      <c r="J82">
        <v>8879</v>
      </c>
      <c r="K82" s="56">
        <v>45591</v>
      </c>
      <c r="L82" s="61">
        <v>45591</v>
      </c>
      <c r="M82" s="56">
        <v>45612</v>
      </c>
      <c r="N82" s="56">
        <v>45615</v>
      </c>
      <c r="O82" s="48" t="s">
        <v>134</v>
      </c>
      <c r="P82" s="48" t="s">
        <v>134</v>
      </c>
      <c r="Q82" s="48" t="s">
        <v>216</v>
      </c>
      <c r="R82" s="50">
        <v>0</v>
      </c>
      <c r="S82" s="48" t="s">
        <v>134</v>
      </c>
    </row>
    <row r="83" spans="1:19" x14ac:dyDescent="0.3">
      <c r="A83" s="50">
        <v>82</v>
      </c>
      <c r="B83" s="48" t="s">
        <v>74</v>
      </c>
      <c r="C83" s="50">
        <v>0</v>
      </c>
      <c r="D83" s="48" t="s">
        <v>264</v>
      </c>
      <c r="E83" s="48" t="s">
        <v>5</v>
      </c>
      <c r="F83" s="48" t="s">
        <v>84</v>
      </c>
      <c r="G83" s="48" t="s">
        <v>92</v>
      </c>
      <c r="H83" s="48" t="s">
        <v>95</v>
      </c>
      <c r="I83" s="50">
        <v>11649</v>
      </c>
      <c r="J83">
        <v>11749</v>
      </c>
      <c r="K83" s="56">
        <v>45591</v>
      </c>
      <c r="L83" s="61">
        <v>45591</v>
      </c>
      <c r="M83" s="56">
        <v>45606</v>
      </c>
      <c r="N83" s="56">
        <v>45614</v>
      </c>
      <c r="O83" s="48" t="s">
        <v>255</v>
      </c>
      <c r="P83" s="48" t="s">
        <v>261</v>
      </c>
      <c r="Q83" s="48" t="s">
        <v>213</v>
      </c>
      <c r="R83" s="50">
        <v>0</v>
      </c>
      <c r="S83" s="48" t="s">
        <v>111</v>
      </c>
    </row>
    <row r="84" spans="1:19" x14ac:dyDescent="0.3">
      <c r="A84" s="50">
        <v>83</v>
      </c>
      <c r="B84" s="48" t="s">
        <v>141</v>
      </c>
      <c r="C84" s="50">
        <v>0</v>
      </c>
      <c r="D84" s="48" t="s">
        <v>263</v>
      </c>
      <c r="E84" s="48" t="s">
        <v>5</v>
      </c>
      <c r="F84" s="48" t="s">
        <v>84</v>
      </c>
      <c r="G84" s="48" t="s">
        <v>86</v>
      </c>
      <c r="H84" s="48" t="s">
        <v>94</v>
      </c>
      <c r="I84" s="50">
        <v>4800</v>
      </c>
      <c r="J84">
        <v>4800</v>
      </c>
      <c r="K84" s="56">
        <v>45593</v>
      </c>
      <c r="L84" s="61">
        <v>45593</v>
      </c>
      <c r="M84" s="56">
        <v>45607</v>
      </c>
      <c r="N84" s="56">
        <v>45617</v>
      </c>
      <c r="O84" s="48" t="s">
        <v>255</v>
      </c>
      <c r="P84" s="48" t="s">
        <v>261</v>
      </c>
      <c r="Q84" s="48" t="s">
        <v>213</v>
      </c>
      <c r="R84" s="50">
        <v>0</v>
      </c>
      <c r="S84" s="48" t="s">
        <v>111</v>
      </c>
    </row>
    <row r="85" spans="1:19" x14ac:dyDescent="0.3">
      <c r="A85" s="50">
        <v>84</v>
      </c>
      <c r="B85" s="48" t="s">
        <v>141</v>
      </c>
      <c r="C85" s="50">
        <v>1</v>
      </c>
      <c r="D85" s="48" t="s">
        <v>263</v>
      </c>
      <c r="E85" s="48" t="s">
        <v>5</v>
      </c>
      <c r="F85" s="48" t="s">
        <v>84</v>
      </c>
      <c r="G85" s="48" t="s">
        <v>86</v>
      </c>
      <c r="H85" s="48" t="s">
        <v>94</v>
      </c>
      <c r="I85" s="50">
        <v>5000</v>
      </c>
      <c r="J85">
        <v>4800</v>
      </c>
      <c r="K85" s="56">
        <v>45593</v>
      </c>
      <c r="L85" s="61">
        <v>45593</v>
      </c>
      <c r="M85" s="56">
        <v>45607</v>
      </c>
      <c r="N85" s="56">
        <v>45617</v>
      </c>
      <c r="O85" s="48" t="s">
        <v>255</v>
      </c>
      <c r="P85" s="48" t="s">
        <v>261</v>
      </c>
      <c r="Q85" s="48" t="s">
        <v>213</v>
      </c>
      <c r="R85" s="50">
        <v>0</v>
      </c>
      <c r="S85" s="48" t="s">
        <v>111</v>
      </c>
    </row>
    <row r="86" spans="1:19" x14ac:dyDescent="0.3">
      <c r="A86" s="50">
        <v>85</v>
      </c>
      <c r="B86" s="48" t="s">
        <v>245</v>
      </c>
      <c r="C86" s="50">
        <v>1</v>
      </c>
      <c r="D86" s="48" t="s">
        <v>145</v>
      </c>
      <c r="E86" s="48" t="s">
        <v>5</v>
      </c>
      <c r="F86" s="48" t="s">
        <v>84</v>
      </c>
      <c r="G86" s="48" t="s">
        <v>92</v>
      </c>
      <c r="H86" s="48" t="s">
        <v>94</v>
      </c>
      <c r="I86" s="50">
        <v>12099</v>
      </c>
      <c r="J86" t="s">
        <v>11</v>
      </c>
      <c r="K86" s="56">
        <v>45607</v>
      </c>
      <c r="L86" s="61">
        <v>45607</v>
      </c>
      <c r="M86" s="56">
        <v>45622</v>
      </c>
      <c r="N86" s="56">
        <v>45623</v>
      </c>
      <c r="O86" s="48" t="s">
        <v>255</v>
      </c>
      <c r="P86" s="48" t="s">
        <v>261</v>
      </c>
      <c r="Q86" s="48" t="s">
        <v>213</v>
      </c>
      <c r="R86" s="50">
        <v>0</v>
      </c>
      <c r="S86" s="48" t="s">
        <v>111</v>
      </c>
    </row>
    <row r="87" spans="1:19" x14ac:dyDescent="0.3">
      <c r="A87" s="50">
        <v>86</v>
      </c>
      <c r="B87" s="48" t="s">
        <v>31</v>
      </c>
      <c r="C87" s="50">
        <v>0</v>
      </c>
      <c r="D87" s="48" t="s">
        <v>128</v>
      </c>
      <c r="E87" s="48" t="s">
        <v>31</v>
      </c>
      <c r="F87" s="48" t="s">
        <v>90</v>
      </c>
      <c r="G87" s="48" t="s">
        <v>117</v>
      </c>
      <c r="H87" s="48" t="s">
        <v>95</v>
      </c>
      <c r="I87" s="50">
        <v>15872</v>
      </c>
      <c r="J87" t="s">
        <v>11</v>
      </c>
      <c r="K87" s="56">
        <v>45604</v>
      </c>
      <c r="L87" s="61">
        <v>45604</v>
      </c>
      <c r="M87" s="56">
        <v>45629</v>
      </c>
      <c r="N87" s="56">
        <v>45610</v>
      </c>
      <c r="O87" s="48" t="s">
        <v>256</v>
      </c>
      <c r="P87" s="48" t="s">
        <v>262</v>
      </c>
      <c r="Q87" s="48" t="s">
        <v>213</v>
      </c>
      <c r="R87" s="50">
        <v>0</v>
      </c>
      <c r="S87" s="48" t="s">
        <v>111</v>
      </c>
    </row>
    <row r="88" spans="1:19" x14ac:dyDescent="0.3">
      <c r="A88" s="50">
        <v>87</v>
      </c>
      <c r="B88" s="48" t="s">
        <v>144</v>
      </c>
      <c r="C88" s="50">
        <v>1</v>
      </c>
      <c r="D88" s="48" t="s">
        <v>295</v>
      </c>
      <c r="E88" s="48" t="s">
        <v>144</v>
      </c>
      <c r="F88" s="48" t="s">
        <v>84</v>
      </c>
      <c r="G88" s="48" t="s">
        <v>86</v>
      </c>
      <c r="H88" s="48" t="s">
        <v>94</v>
      </c>
      <c r="I88" s="50">
        <v>4520</v>
      </c>
      <c r="J88" t="s">
        <v>49</v>
      </c>
      <c r="K88" s="56">
        <v>45606</v>
      </c>
      <c r="L88" s="61">
        <v>45606</v>
      </c>
      <c r="M88" s="56">
        <v>45618</v>
      </c>
      <c r="N88" s="56">
        <v>45617</v>
      </c>
      <c r="O88" s="48" t="s">
        <v>256</v>
      </c>
      <c r="P88" s="48" t="s">
        <v>262</v>
      </c>
      <c r="Q88" s="48" t="s">
        <v>213</v>
      </c>
      <c r="R88" s="50">
        <v>0</v>
      </c>
      <c r="S88" s="48" t="s">
        <v>111</v>
      </c>
    </row>
    <row r="89" spans="1:19" x14ac:dyDescent="0.3">
      <c r="A89" s="50">
        <v>88</v>
      </c>
      <c r="B89" s="48" t="s">
        <v>47</v>
      </c>
      <c r="C89" s="50">
        <v>0</v>
      </c>
      <c r="D89" s="48" t="s">
        <v>242</v>
      </c>
      <c r="E89" s="48" t="s">
        <v>219</v>
      </c>
      <c r="F89" s="48" t="s">
        <v>84</v>
      </c>
      <c r="G89" s="48" t="s">
        <v>92</v>
      </c>
      <c r="H89" s="48" t="s">
        <v>95</v>
      </c>
      <c r="I89" s="50">
        <v>5766</v>
      </c>
      <c r="J89" t="s">
        <v>49</v>
      </c>
      <c r="K89" s="56">
        <v>45608</v>
      </c>
      <c r="L89" s="61">
        <v>45608</v>
      </c>
      <c r="M89" s="56">
        <v>45622</v>
      </c>
      <c r="N89" s="56">
        <v>45621</v>
      </c>
      <c r="O89" s="48" t="s">
        <v>256</v>
      </c>
      <c r="P89" s="48" t="s">
        <v>262</v>
      </c>
      <c r="Q89" s="48" t="s">
        <v>213</v>
      </c>
      <c r="R89" s="50">
        <v>0</v>
      </c>
      <c r="S89" s="48" t="s">
        <v>111</v>
      </c>
    </row>
    <row r="90" spans="1:19" x14ac:dyDescent="0.3">
      <c r="A90" s="50">
        <v>89</v>
      </c>
      <c r="B90" s="48" t="s">
        <v>146</v>
      </c>
      <c r="C90" s="50">
        <v>1</v>
      </c>
      <c r="D90" s="48" t="s">
        <v>263</v>
      </c>
      <c r="E90" s="48" t="s">
        <v>5</v>
      </c>
      <c r="F90" s="48" t="s">
        <v>84</v>
      </c>
      <c r="G90" s="48" t="s">
        <v>86</v>
      </c>
      <c r="H90" s="48" t="s">
        <v>99</v>
      </c>
      <c r="I90" s="50">
        <v>11395</v>
      </c>
      <c r="J90" t="s">
        <v>11</v>
      </c>
      <c r="K90" s="56">
        <v>45608</v>
      </c>
      <c r="L90" s="61">
        <v>45608</v>
      </c>
      <c r="M90" s="56">
        <v>45620</v>
      </c>
      <c r="N90" s="56">
        <v>45623</v>
      </c>
      <c r="O90" s="48" t="s">
        <v>255</v>
      </c>
      <c r="P90" s="48" t="s">
        <v>261</v>
      </c>
      <c r="Q90" s="48" t="s">
        <v>213</v>
      </c>
      <c r="R90" s="50">
        <v>0</v>
      </c>
      <c r="S90" s="48" t="s">
        <v>111</v>
      </c>
    </row>
    <row r="91" spans="1:19" x14ac:dyDescent="0.3">
      <c r="A91" s="50">
        <v>90</v>
      </c>
      <c r="B91" s="48" t="s">
        <v>147</v>
      </c>
      <c r="C91" s="50">
        <v>1</v>
      </c>
      <c r="D91" s="48" t="s">
        <v>295</v>
      </c>
      <c r="E91" s="48" t="s">
        <v>5</v>
      </c>
      <c r="F91" s="48" t="s">
        <v>84</v>
      </c>
      <c r="G91" s="48" t="s">
        <v>92</v>
      </c>
      <c r="H91" s="48" t="s">
        <v>94</v>
      </c>
      <c r="I91" s="50">
        <v>12919</v>
      </c>
      <c r="J91" t="s">
        <v>11</v>
      </c>
      <c r="K91" s="56">
        <v>45610</v>
      </c>
      <c r="L91" s="61">
        <v>45610</v>
      </c>
      <c r="M91" s="56">
        <v>45626</v>
      </c>
      <c r="N91" s="56">
        <v>45623</v>
      </c>
      <c r="O91" s="48" t="s">
        <v>256</v>
      </c>
      <c r="P91" s="48" t="s">
        <v>262</v>
      </c>
      <c r="Q91" s="48" t="s">
        <v>213</v>
      </c>
      <c r="R91" s="50">
        <v>0</v>
      </c>
      <c r="S91" s="48" t="s">
        <v>111</v>
      </c>
    </row>
    <row r="92" spans="1:19" x14ac:dyDescent="0.3">
      <c r="A92" s="50">
        <v>91</v>
      </c>
      <c r="B92" s="48" t="s">
        <v>47</v>
      </c>
      <c r="C92" s="50">
        <v>0</v>
      </c>
      <c r="D92" s="48" t="s">
        <v>242</v>
      </c>
      <c r="E92" s="48" t="s">
        <v>219</v>
      </c>
      <c r="F92" s="48" t="s">
        <v>84</v>
      </c>
      <c r="G92" s="48" t="s">
        <v>92</v>
      </c>
      <c r="H92" s="48" t="s">
        <v>98</v>
      </c>
      <c r="I92" s="50">
        <v>6376</v>
      </c>
      <c r="J92" t="s">
        <v>49</v>
      </c>
      <c r="K92" s="56">
        <v>45610</v>
      </c>
      <c r="L92" s="61">
        <v>45610</v>
      </c>
      <c r="M92" s="56">
        <v>45623</v>
      </c>
      <c r="N92" s="56">
        <v>45621</v>
      </c>
      <c r="O92" s="48" t="s">
        <v>256</v>
      </c>
      <c r="P92" s="48" t="s">
        <v>262</v>
      </c>
      <c r="Q92" s="48" t="s">
        <v>213</v>
      </c>
      <c r="R92" s="50">
        <v>0</v>
      </c>
      <c r="S92" s="48" t="s">
        <v>111</v>
      </c>
    </row>
    <row r="93" spans="1:19" x14ac:dyDescent="0.3">
      <c r="A93" s="50">
        <v>92</v>
      </c>
      <c r="B93" s="48" t="s">
        <v>47</v>
      </c>
      <c r="C93" s="50">
        <v>0</v>
      </c>
      <c r="D93" s="48" t="s">
        <v>149</v>
      </c>
      <c r="E93" s="48" t="s">
        <v>219</v>
      </c>
      <c r="F93" s="48" t="s">
        <v>84</v>
      </c>
      <c r="G93" s="48" t="s">
        <v>92</v>
      </c>
      <c r="H93" s="48" t="s">
        <v>95</v>
      </c>
      <c r="I93" s="50">
        <v>5294</v>
      </c>
      <c r="J93" t="s">
        <v>49</v>
      </c>
      <c r="K93" s="56">
        <v>45610</v>
      </c>
      <c r="L93" s="61">
        <v>45610</v>
      </c>
      <c r="M93" s="56">
        <v>45623</v>
      </c>
      <c r="N93" s="56">
        <v>45621</v>
      </c>
      <c r="O93" s="48" t="s">
        <v>256</v>
      </c>
      <c r="P93" s="48" t="s">
        <v>262</v>
      </c>
      <c r="Q93" s="48" t="s">
        <v>213</v>
      </c>
      <c r="R93" s="50">
        <v>0</v>
      </c>
      <c r="S93" s="48" t="s">
        <v>111</v>
      </c>
    </row>
    <row r="94" spans="1:19" x14ac:dyDescent="0.3">
      <c r="A94" s="50">
        <v>93</v>
      </c>
      <c r="B94" s="48" t="s">
        <v>246</v>
      </c>
      <c r="C94" s="50">
        <v>1</v>
      </c>
      <c r="D94" s="48" t="s">
        <v>264</v>
      </c>
      <c r="E94" s="48" t="s">
        <v>247</v>
      </c>
      <c r="F94" s="48" t="s">
        <v>84</v>
      </c>
      <c r="G94" s="48" t="s">
        <v>92</v>
      </c>
      <c r="H94" s="48" t="s">
        <v>94</v>
      </c>
      <c r="I94" s="50">
        <v>7396</v>
      </c>
      <c r="J94" t="s">
        <v>11</v>
      </c>
      <c r="K94" s="56">
        <v>45613</v>
      </c>
      <c r="L94" s="61">
        <v>45613</v>
      </c>
      <c r="M94" s="56">
        <v>45624</v>
      </c>
      <c r="N94" s="56">
        <v>45622</v>
      </c>
      <c r="O94" s="48" t="s">
        <v>256</v>
      </c>
      <c r="P94" s="48" t="s">
        <v>262</v>
      </c>
      <c r="Q94" s="48" t="s">
        <v>213</v>
      </c>
      <c r="R94" s="50">
        <v>0</v>
      </c>
      <c r="S94" s="48" t="s">
        <v>111</v>
      </c>
    </row>
    <row r="95" spans="1:19" x14ac:dyDescent="0.3">
      <c r="A95" s="50">
        <v>94</v>
      </c>
      <c r="B95" s="48" t="s">
        <v>74</v>
      </c>
      <c r="C95" s="50">
        <v>1</v>
      </c>
      <c r="D95" s="48" t="s">
        <v>264</v>
      </c>
      <c r="E95" s="48" t="s">
        <v>5</v>
      </c>
      <c r="F95" s="48" t="s">
        <v>84</v>
      </c>
      <c r="G95" s="48" t="s">
        <v>92</v>
      </c>
      <c r="H95" s="48" t="s">
        <v>95</v>
      </c>
      <c r="I95" s="50">
        <v>13439</v>
      </c>
      <c r="J95">
        <v>13575</v>
      </c>
      <c r="K95" s="56">
        <v>45616</v>
      </c>
      <c r="L95" s="61">
        <v>45616</v>
      </c>
      <c r="M95" s="56">
        <v>45631</v>
      </c>
      <c r="N95" s="56">
        <v>45622</v>
      </c>
      <c r="O95" s="48" t="s">
        <v>256</v>
      </c>
      <c r="P95" s="48" t="s">
        <v>262</v>
      </c>
      <c r="Q95" s="48" t="s">
        <v>213</v>
      </c>
      <c r="R95" s="50">
        <v>0</v>
      </c>
      <c r="S95" s="48" t="s">
        <v>111</v>
      </c>
    </row>
    <row r="96" spans="1:19" x14ac:dyDescent="0.3">
      <c r="A96" s="50">
        <v>95</v>
      </c>
      <c r="B96" s="48" t="s">
        <v>27</v>
      </c>
      <c r="C96" s="50">
        <v>0</v>
      </c>
      <c r="D96" s="48" t="s">
        <v>263</v>
      </c>
      <c r="E96" s="48" t="s">
        <v>27</v>
      </c>
      <c r="F96" s="48" t="s">
        <v>84</v>
      </c>
      <c r="G96" s="48" t="s">
        <v>86</v>
      </c>
      <c r="H96" s="48" t="s">
        <v>95</v>
      </c>
      <c r="I96" s="50">
        <v>5100</v>
      </c>
      <c r="J96" t="s">
        <v>49</v>
      </c>
      <c r="K96" s="56">
        <v>45610</v>
      </c>
      <c r="L96" s="61">
        <v>45610</v>
      </c>
      <c r="M96" s="56">
        <v>45634</v>
      </c>
      <c r="N96" s="56">
        <v>45643</v>
      </c>
      <c r="O96" s="48" t="s">
        <v>255</v>
      </c>
      <c r="P96" s="48" t="s">
        <v>261</v>
      </c>
      <c r="Q96" s="48" t="s">
        <v>213</v>
      </c>
      <c r="R96" s="50">
        <v>0</v>
      </c>
      <c r="S96" s="48" t="s">
        <v>111</v>
      </c>
    </row>
    <row r="97" spans="1:19" x14ac:dyDescent="0.3">
      <c r="A97" s="50">
        <v>96</v>
      </c>
      <c r="B97" s="48" t="s">
        <v>154</v>
      </c>
      <c r="C97" s="50">
        <v>1</v>
      </c>
      <c r="D97" s="48" t="s">
        <v>30</v>
      </c>
      <c r="E97" s="48" t="s">
        <v>155</v>
      </c>
      <c r="F97" s="48" t="s">
        <v>84</v>
      </c>
      <c r="G97" s="48" t="s">
        <v>86</v>
      </c>
      <c r="H97" s="48" t="s">
        <v>100</v>
      </c>
      <c r="I97" s="50">
        <v>5700</v>
      </c>
      <c r="J97">
        <v>5800</v>
      </c>
      <c r="K97" s="56">
        <v>45618</v>
      </c>
      <c r="L97" s="61">
        <v>45618</v>
      </c>
      <c r="M97" s="56">
        <v>45628</v>
      </c>
      <c r="N97" s="56">
        <v>45623</v>
      </c>
      <c r="O97" s="48" t="s">
        <v>256</v>
      </c>
      <c r="P97" s="48" t="s">
        <v>262</v>
      </c>
      <c r="Q97" s="48" t="s">
        <v>213</v>
      </c>
      <c r="R97" s="50">
        <v>0</v>
      </c>
      <c r="S97" s="48" t="s">
        <v>111</v>
      </c>
    </row>
    <row r="98" spans="1:19" x14ac:dyDescent="0.3">
      <c r="A98" s="50">
        <v>97</v>
      </c>
      <c r="B98" s="48" t="s">
        <v>248</v>
      </c>
      <c r="C98" s="50">
        <v>1</v>
      </c>
      <c r="D98" s="48" t="s">
        <v>263</v>
      </c>
      <c r="E98" s="48" t="s">
        <v>5</v>
      </c>
      <c r="F98" s="48" t="s">
        <v>84</v>
      </c>
      <c r="G98" s="48" t="s">
        <v>86</v>
      </c>
      <c r="H98" s="48" t="s">
        <v>98</v>
      </c>
      <c r="I98" s="50">
        <v>10885</v>
      </c>
      <c r="J98">
        <v>7965</v>
      </c>
      <c r="K98" s="56">
        <v>45620</v>
      </c>
      <c r="L98" s="61">
        <v>45620</v>
      </c>
      <c r="M98" s="56">
        <v>45631</v>
      </c>
      <c r="N98" s="56">
        <v>45636</v>
      </c>
      <c r="O98" s="48" t="s">
        <v>255</v>
      </c>
      <c r="P98" s="48" t="s">
        <v>261</v>
      </c>
      <c r="Q98" s="48" t="s">
        <v>213</v>
      </c>
      <c r="R98" s="50">
        <v>0</v>
      </c>
      <c r="S98" s="48" t="s">
        <v>111</v>
      </c>
    </row>
    <row r="99" spans="1:19" x14ac:dyDescent="0.3">
      <c r="A99" s="50">
        <v>98</v>
      </c>
      <c r="B99" s="48" t="s">
        <v>27</v>
      </c>
      <c r="C99" s="50">
        <v>1</v>
      </c>
      <c r="D99" s="48" t="s">
        <v>263</v>
      </c>
      <c r="E99" s="48" t="s">
        <v>27</v>
      </c>
      <c r="F99" s="48" t="s">
        <v>90</v>
      </c>
      <c r="G99" s="48" t="s">
        <v>88</v>
      </c>
      <c r="H99" s="48" t="s">
        <v>95</v>
      </c>
      <c r="I99" s="50">
        <v>6000</v>
      </c>
      <c r="J99">
        <v>6000</v>
      </c>
      <c r="K99" s="56">
        <v>45615</v>
      </c>
      <c r="L99" s="61">
        <v>45615</v>
      </c>
      <c r="M99" s="56">
        <v>45631</v>
      </c>
      <c r="N99" s="56">
        <v>45616</v>
      </c>
      <c r="O99" s="48" t="s">
        <v>256</v>
      </c>
      <c r="P99" s="48" t="s">
        <v>262</v>
      </c>
      <c r="Q99" s="48" t="s">
        <v>249</v>
      </c>
      <c r="R99" s="50">
        <v>1</v>
      </c>
      <c r="S99" s="48" t="s">
        <v>111</v>
      </c>
    </row>
    <row r="100" spans="1:19" x14ac:dyDescent="0.3">
      <c r="A100" s="50">
        <v>99</v>
      </c>
      <c r="B100" s="48" t="s">
        <v>159</v>
      </c>
      <c r="C100" s="50">
        <v>1</v>
      </c>
      <c r="D100" s="48" t="s">
        <v>210</v>
      </c>
      <c r="E100" s="48" t="s">
        <v>5</v>
      </c>
      <c r="F100" s="48" t="s">
        <v>160</v>
      </c>
      <c r="G100" s="48" t="s">
        <v>105</v>
      </c>
      <c r="H100" s="48" t="s">
        <v>95</v>
      </c>
      <c r="I100" s="50">
        <v>8449</v>
      </c>
      <c r="J100" t="s">
        <v>11</v>
      </c>
      <c r="K100" s="56">
        <v>45623</v>
      </c>
      <c r="L100" s="61">
        <v>45623</v>
      </c>
      <c r="M100" s="56">
        <v>45636</v>
      </c>
      <c r="N100" s="56">
        <v>45649</v>
      </c>
      <c r="O100" s="48" t="s">
        <v>255</v>
      </c>
      <c r="P100" s="48" t="s">
        <v>261</v>
      </c>
      <c r="Q100" s="48" t="s">
        <v>209</v>
      </c>
      <c r="R100" s="50">
        <v>0</v>
      </c>
      <c r="S100" s="48" t="s">
        <v>111</v>
      </c>
    </row>
    <row r="101" spans="1:19" x14ac:dyDescent="0.3">
      <c r="A101" s="50">
        <v>100</v>
      </c>
      <c r="B101" s="48" t="s">
        <v>161</v>
      </c>
      <c r="C101" s="50">
        <v>1</v>
      </c>
      <c r="D101" s="48" t="s">
        <v>263</v>
      </c>
      <c r="E101" s="48" t="s">
        <v>5</v>
      </c>
      <c r="F101" s="48" t="s">
        <v>160</v>
      </c>
      <c r="G101" s="48" t="s">
        <v>92</v>
      </c>
      <c r="H101" s="48" t="s">
        <v>94</v>
      </c>
      <c r="I101" s="50">
        <v>10249</v>
      </c>
      <c r="J101">
        <v>6211</v>
      </c>
      <c r="K101" s="56">
        <v>45623</v>
      </c>
      <c r="L101" s="61">
        <v>45623</v>
      </c>
      <c r="M101" s="56">
        <v>45636</v>
      </c>
      <c r="N101" s="56">
        <v>45645</v>
      </c>
      <c r="O101" s="48" t="s">
        <v>255</v>
      </c>
      <c r="P101" s="48" t="s">
        <v>261</v>
      </c>
      <c r="Q101" s="48" t="s">
        <v>213</v>
      </c>
      <c r="R101" s="50">
        <v>0</v>
      </c>
      <c r="S101" s="48" t="s">
        <v>111</v>
      </c>
    </row>
    <row r="102" spans="1:19" x14ac:dyDescent="0.3">
      <c r="A102" s="50">
        <v>101</v>
      </c>
      <c r="B102" s="48" t="s">
        <v>162</v>
      </c>
      <c r="C102" s="50">
        <v>1</v>
      </c>
      <c r="D102" s="48" t="s">
        <v>210</v>
      </c>
      <c r="E102" s="48" t="s">
        <v>5</v>
      </c>
      <c r="F102" s="48" t="s">
        <v>84</v>
      </c>
      <c r="G102" s="48" t="s">
        <v>92</v>
      </c>
      <c r="H102" s="48" t="s">
        <v>95</v>
      </c>
      <c r="I102" s="50">
        <v>14905</v>
      </c>
      <c r="J102" t="s">
        <v>11</v>
      </c>
      <c r="K102" s="56">
        <v>45625</v>
      </c>
      <c r="L102" s="61">
        <v>45625</v>
      </c>
      <c r="M102" s="56">
        <v>45641</v>
      </c>
      <c r="N102" s="56">
        <v>45646</v>
      </c>
      <c r="O102" s="48" t="s">
        <v>134</v>
      </c>
      <c r="P102" s="48" t="s">
        <v>134</v>
      </c>
      <c r="Q102" s="48" t="s">
        <v>174</v>
      </c>
      <c r="R102" s="50">
        <v>1</v>
      </c>
      <c r="S102" s="48" t="s">
        <v>134</v>
      </c>
    </row>
    <row r="103" spans="1:19" x14ac:dyDescent="0.3">
      <c r="A103" s="50">
        <v>102</v>
      </c>
      <c r="B103" s="48" t="s">
        <v>165</v>
      </c>
      <c r="C103" s="50">
        <v>0</v>
      </c>
      <c r="D103" s="48" t="s">
        <v>30</v>
      </c>
      <c r="E103" s="48" t="s">
        <v>5</v>
      </c>
      <c r="F103" s="48" t="s">
        <v>160</v>
      </c>
      <c r="G103" s="48" t="s">
        <v>92</v>
      </c>
      <c r="H103" s="48" t="s">
        <v>95</v>
      </c>
      <c r="I103" s="50">
        <v>10249</v>
      </c>
      <c r="J103" t="s">
        <v>11</v>
      </c>
      <c r="K103" s="56">
        <v>45626</v>
      </c>
      <c r="L103" s="61">
        <v>45626</v>
      </c>
      <c r="M103" s="56">
        <v>45638</v>
      </c>
      <c r="N103" s="56">
        <v>45641</v>
      </c>
      <c r="O103" s="48" t="s">
        <v>134</v>
      </c>
      <c r="P103" s="48" t="s">
        <v>134</v>
      </c>
      <c r="Q103" s="48" t="s">
        <v>216</v>
      </c>
      <c r="R103" s="50">
        <v>0</v>
      </c>
      <c r="S103" s="48" t="s">
        <v>134</v>
      </c>
    </row>
    <row r="104" spans="1:19" x14ac:dyDescent="0.3">
      <c r="A104" s="50">
        <v>103</v>
      </c>
      <c r="B104" s="48" t="s">
        <v>165</v>
      </c>
      <c r="C104" s="50">
        <v>1</v>
      </c>
      <c r="D104" s="48" t="s">
        <v>30</v>
      </c>
      <c r="E104" s="48" t="s">
        <v>5</v>
      </c>
      <c r="F104" s="48" t="s">
        <v>160</v>
      </c>
      <c r="G104" s="48" t="s">
        <v>107</v>
      </c>
      <c r="H104" s="48" t="s">
        <v>95</v>
      </c>
      <c r="I104" s="50">
        <v>9029</v>
      </c>
      <c r="J104" t="s">
        <v>11</v>
      </c>
      <c r="K104" s="56">
        <v>45626</v>
      </c>
      <c r="L104" s="61">
        <v>45626</v>
      </c>
      <c r="M104" s="56">
        <v>45638</v>
      </c>
      <c r="N104" s="56">
        <v>45641</v>
      </c>
      <c r="O104" s="48" t="s">
        <v>134</v>
      </c>
      <c r="P104" s="48" t="s">
        <v>134</v>
      </c>
      <c r="Q104" s="48" t="s">
        <v>216</v>
      </c>
      <c r="R104" s="50">
        <v>0</v>
      </c>
      <c r="S104" s="48" t="s">
        <v>134</v>
      </c>
    </row>
    <row r="105" spans="1:19" x14ac:dyDescent="0.3">
      <c r="A105" s="50">
        <v>104</v>
      </c>
      <c r="B105" s="48" t="s">
        <v>167</v>
      </c>
      <c r="C105" s="50">
        <v>1</v>
      </c>
      <c r="D105" s="48" t="s">
        <v>82</v>
      </c>
      <c r="E105" s="48" t="s">
        <v>5</v>
      </c>
      <c r="F105" s="48" t="s">
        <v>160</v>
      </c>
      <c r="G105" s="48" t="s">
        <v>105</v>
      </c>
      <c r="H105" s="48" t="s">
        <v>95</v>
      </c>
      <c r="I105" s="50">
        <v>9029</v>
      </c>
      <c r="J105" t="s">
        <v>11</v>
      </c>
      <c r="K105" s="56">
        <v>45626</v>
      </c>
      <c r="L105" s="61">
        <v>45626</v>
      </c>
      <c r="M105" s="56">
        <v>45638</v>
      </c>
      <c r="N105" s="56">
        <v>45652</v>
      </c>
      <c r="O105" s="48" t="s">
        <v>255</v>
      </c>
      <c r="P105" s="48" t="s">
        <v>261</v>
      </c>
      <c r="Q105" s="48" t="s">
        <v>209</v>
      </c>
      <c r="R105" s="50">
        <v>0</v>
      </c>
      <c r="S105" s="48" t="s">
        <v>111</v>
      </c>
    </row>
    <row r="106" spans="1:19" x14ac:dyDescent="0.3">
      <c r="A106" s="50">
        <v>105</v>
      </c>
      <c r="B106" s="48" t="s">
        <v>168</v>
      </c>
      <c r="C106" s="50">
        <v>1</v>
      </c>
      <c r="D106" s="48" t="s">
        <v>169</v>
      </c>
      <c r="E106" s="48" t="s">
        <v>5</v>
      </c>
      <c r="F106" s="48" t="s">
        <v>84</v>
      </c>
      <c r="G106" s="48" t="s">
        <v>92</v>
      </c>
      <c r="H106" s="48" t="s">
        <v>94</v>
      </c>
      <c r="I106" s="50">
        <v>12099</v>
      </c>
      <c r="J106" t="s">
        <v>11</v>
      </c>
      <c r="K106" s="56">
        <v>45628</v>
      </c>
      <c r="L106" s="61">
        <v>45628</v>
      </c>
      <c r="M106" s="56">
        <v>45643</v>
      </c>
      <c r="N106" s="56">
        <v>45646</v>
      </c>
      <c r="O106" s="48" t="s">
        <v>134</v>
      </c>
      <c r="P106" s="48" t="s">
        <v>134</v>
      </c>
      <c r="Q106" s="48" t="s">
        <v>216</v>
      </c>
      <c r="R106" s="50">
        <v>0</v>
      </c>
      <c r="S106" s="48" t="s">
        <v>134</v>
      </c>
    </row>
    <row r="107" spans="1:19" x14ac:dyDescent="0.3">
      <c r="A107" s="50">
        <v>106</v>
      </c>
      <c r="B107" s="48" t="s">
        <v>47</v>
      </c>
      <c r="C107" s="50">
        <v>1</v>
      </c>
      <c r="D107" s="48" t="s">
        <v>242</v>
      </c>
      <c r="E107" s="48" t="s">
        <v>219</v>
      </c>
      <c r="F107" s="48" t="s">
        <v>84</v>
      </c>
      <c r="G107" s="48" t="s">
        <v>92</v>
      </c>
      <c r="H107" s="48" t="s">
        <v>96</v>
      </c>
      <c r="I107" s="50">
        <v>5217</v>
      </c>
      <c r="J107" t="s">
        <v>49</v>
      </c>
      <c r="K107" s="56">
        <v>45627</v>
      </c>
      <c r="L107" s="61">
        <v>45627</v>
      </c>
      <c r="M107" s="56">
        <v>45640</v>
      </c>
      <c r="N107" s="56">
        <v>45636</v>
      </c>
      <c r="O107" s="48" t="s">
        <v>256</v>
      </c>
      <c r="P107" s="48" t="s">
        <v>262</v>
      </c>
      <c r="Q107" s="48" t="s">
        <v>213</v>
      </c>
      <c r="R107" s="50">
        <v>0</v>
      </c>
      <c r="S107" s="48" t="s">
        <v>111</v>
      </c>
    </row>
    <row r="108" spans="1:19" x14ac:dyDescent="0.3">
      <c r="A108" s="50">
        <v>107</v>
      </c>
      <c r="B108" s="48" t="s">
        <v>250</v>
      </c>
      <c r="C108" s="50">
        <v>1</v>
      </c>
      <c r="D108" s="48" t="s">
        <v>77</v>
      </c>
      <c r="E108" s="48" t="s">
        <v>5</v>
      </c>
      <c r="F108" s="48" t="s">
        <v>84</v>
      </c>
      <c r="G108" s="48" t="s">
        <v>85</v>
      </c>
      <c r="H108" s="48" t="s">
        <v>95</v>
      </c>
      <c r="I108" s="50">
        <v>10249</v>
      </c>
      <c r="J108">
        <v>6211</v>
      </c>
      <c r="K108" s="56">
        <v>45630</v>
      </c>
      <c r="L108" s="61">
        <v>45630</v>
      </c>
      <c r="M108" s="56">
        <v>45640</v>
      </c>
      <c r="N108" s="56">
        <v>45645</v>
      </c>
      <c r="O108" s="48" t="s">
        <v>255</v>
      </c>
      <c r="P108" s="48" t="s">
        <v>261</v>
      </c>
      <c r="Q108" s="48" t="s">
        <v>213</v>
      </c>
      <c r="R108" s="50">
        <v>0</v>
      </c>
      <c r="S108" s="48" t="s">
        <v>111</v>
      </c>
    </row>
    <row r="109" spans="1:19" x14ac:dyDescent="0.3">
      <c r="A109" s="50">
        <v>108</v>
      </c>
      <c r="B109" s="48" t="s">
        <v>171</v>
      </c>
      <c r="C109" s="50">
        <v>1</v>
      </c>
      <c r="D109" s="48" t="s">
        <v>295</v>
      </c>
      <c r="E109" s="48" t="s">
        <v>31</v>
      </c>
      <c r="F109" s="48" t="s">
        <v>84</v>
      </c>
      <c r="G109" s="48" t="s">
        <v>92</v>
      </c>
      <c r="H109" s="48" t="s">
        <v>95</v>
      </c>
      <c r="I109" s="50">
        <v>10445</v>
      </c>
      <c r="J109">
        <v>7707</v>
      </c>
      <c r="K109" s="56">
        <v>45635</v>
      </c>
      <c r="L109" s="61">
        <v>45635</v>
      </c>
      <c r="M109" s="56">
        <v>45657</v>
      </c>
      <c r="N109" s="56">
        <v>45638</v>
      </c>
      <c r="O109" s="48" t="s">
        <v>256</v>
      </c>
      <c r="P109" s="48" t="s">
        <v>262</v>
      </c>
      <c r="Q109" s="48" t="s">
        <v>213</v>
      </c>
      <c r="R109" s="50">
        <v>0</v>
      </c>
      <c r="S109" s="48" t="s">
        <v>111</v>
      </c>
    </row>
    <row r="110" spans="1:19" x14ac:dyDescent="0.3">
      <c r="A110" s="50">
        <v>109</v>
      </c>
      <c r="B110" s="48" t="s">
        <v>251</v>
      </c>
      <c r="C110" s="50">
        <v>1</v>
      </c>
      <c r="D110" s="48" t="s">
        <v>30</v>
      </c>
      <c r="E110" s="48" t="s">
        <v>5</v>
      </c>
      <c r="F110" s="48" t="s">
        <v>160</v>
      </c>
      <c r="G110" s="48" t="s">
        <v>92</v>
      </c>
      <c r="H110" s="48" t="s">
        <v>95</v>
      </c>
      <c r="I110" s="50">
        <v>11199</v>
      </c>
      <c r="J110">
        <v>11257</v>
      </c>
      <c r="K110" s="56">
        <v>45638</v>
      </c>
      <c r="L110" s="61">
        <v>45638</v>
      </c>
      <c r="M110" s="56">
        <v>45650</v>
      </c>
      <c r="N110" s="56">
        <v>45645</v>
      </c>
      <c r="O110" s="48" t="s">
        <v>256</v>
      </c>
      <c r="P110" s="48" t="s">
        <v>262</v>
      </c>
      <c r="Q110" s="48" t="s">
        <v>213</v>
      </c>
      <c r="R110" s="50">
        <v>0</v>
      </c>
      <c r="S110" s="48" t="s">
        <v>111</v>
      </c>
    </row>
    <row r="111" spans="1:19" x14ac:dyDescent="0.3">
      <c r="A111" s="50">
        <v>110</v>
      </c>
      <c r="B111" s="48" t="s">
        <v>173</v>
      </c>
      <c r="C111" s="50">
        <v>1</v>
      </c>
      <c r="D111" s="48" t="s">
        <v>264</v>
      </c>
      <c r="E111" s="48" t="s">
        <v>5</v>
      </c>
      <c r="F111" s="48" t="s">
        <v>84</v>
      </c>
      <c r="G111" s="48" t="s">
        <v>92</v>
      </c>
      <c r="H111" s="48" t="s">
        <v>95</v>
      </c>
      <c r="I111" s="50">
        <v>13099</v>
      </c>
      <c r="J111">
        <v>13231</v>
      </c>
      <c r="K111" s="56">
        <v>45638</v>
      </c>
      <c r="L111" s="61">
        <v>45638</v>
      </c>
      <c r="M111" s="56">
        <v>45654</v>
      </c>
      <c r="N111" s="56">
        <v>45655</v>
      </c>
      <c r="O111" s="48" t="s">
        <v>255</v>
      </c>
      <c r="P111" s="48" t="s">
        <v>261</v>
      </c>
      <c r="Q111" s="48" t="s">
        <v>213</v>
      </c>
      <c r="R111" s="50">
        <v>0</v>
      </c>
      <c r="S111" s="48" t="s">
        <v>111</v>
      </c>
    </row>
    <row r="112" spans="1:19" x14ac:dyDescent="0.3">
      <c r="A112" s="50">
        <v>111</v>
      </c>
      <c r="B112" s="48" t="s">
        <v>31</v>
      </c>
      <c r="C112" s="50">
        <v>1</v>
      </c>
      <c r="D112" s="48" t="s">
        <v>128</v>
      </c>
      <c r="E112" s="48" t="s">
        <v>31</v>
      </c>
      <c r="F112" s="48" t="s">
        <v>90</v>
      </c>
      <c r="G112" s="48" t="s">
        <v>117</v>
      </c>
      <c r="H112" s="48" t="s">
        <v>95</v>
      </c>
      <c r="I112" s="50">
        <v>8700</v>
      </c>
      <c r="J112" t="s">
        <v>49</v>
      </c>
      <c r="K112" s="56">
        <v>45640</v>
      </c>
      <c r="L112" s="61">
        <v>45640</v>
      </c>
      <c r="M112" s="56">
        <v>45662</v>
      </c>
      <c r="N112" s="56">
        <v>45655</v>
      </c>
      <c r="O112" s="48" t="s">
        <v>256</v>
      </c>
      <c r="P112" s="48" t="s">
        <v>262</v>
      </c>
      <c r="Q112" s="48" t="s">
        <v>213</v>
      </c>
      <c r="R112" s="50">
        <v>0</v>
      </c>
      <c r="S112" s="48" t="s">
        <v>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O1025"/>
  <sheetViews>
    <sheetView rightToLeft="1" zoomScaleNormal="100" workbookViewId="0">
      <selection activeCell="L4" sqref="L4"/>
    </sheetView>
  </sheetViews>
  <sheetFormatPr defaultColWidth="8.88671875" defaultRowHeight="14.4" x14ac:dyDescent="0.3"/>
  <cols>
    <col min="1" max="1" width="13.44140625" style="1" bestFit="1" customWidth="1"/>
    <col min="2" max="2" width="15.21875" style="1" bestFit="1" customWidth="1"/>
    <col min="3" max="3" width="30" style="1" bestFit="1" customWidth="1"/>
    <col min="4" max="4" width="14.33203125" style="1" bestFit="1" customWidth="1"/>
    <col min="5" max="5" width="14.33203125" style="1" customWidth="1"/>
    <col min="6" max="6" width="15.33203125" style="1" bestFit="1" customWidth="1"/>
    <col min="7" max="7" width="15.109375" style="1" customWidth="1"/>
    <col min="8" max="8" width="15.109375" style="1" bestFit="1" customWidth="1"/>
    <col min="9" max="9" width="15.33203125" style="1" bestFit="1" customWidth="1"/>
    <col min="10" max="10" width="15.33203125" style="40" bestFit="1" customWidth="1"/>
    <col min="11" max="11" width="15.109375" style="1" bestFit="1" customWidth="1"/>
    <col min="12" max="12" width="15.77734375" style="1" customWidth="1"/>
    <col min="13" max="14" width="26.77734375" style="1" bestFit="1" customWidth="1"/>
    <col min="15" max="15" width="9.44140625" bestFit="1" customWidth="1"/>
    <col min="16" max="16384" width="8.88671875" style="1"/>
  </cols>
  <sheetData>
    <row r="1" spans="1:15" ht="20.100000000000001" customHeight="1" x14ac:dyDescent="0.3">
      <c r="A1" s="12" t="s">
        <v>202</v>
      </c>
      <c r="B1" s="13" t="s">
        <v>199</v>
      </c>
      <c r="C1" s="13" t="s">
        <v>0</v>
      </c>
      <c r="D1" s="49" t="s">
        <v>4</v>
      </c>
      <c r="E1" s="49" t="s">
        <v>1</v>
      </c>
      <c r="F1" s="13" t="s">
        <v>195</v>
      </c>
      <c r="G1" s="13" t="s">
        <v>101</v>
      </c>
      <c r="H1" s="13" t="s">
        <v>6</v>
      </c>
      <c r="I1" s="14" t="s">
        <v>7</v>
      </c>
      <c r="J1" s="13" t="s">
        <v>9</v>
      </c>
      <c r="K1" s="13" t="s">
        <v>8</v>
      </c>
      <c r="L1" s="13" t="s">
        <v>2</v>
      </c>
      <c r="M1" s="13" t="s">
        <v>3</v>
      </c>
      <c r="N1" s="15" t="s">
        <v>108</v>
      </c>
      <c r="O1" s="1"/>
    </row>
    <row r="2" spans="1:15" ht="20.100000000000001" customHeight="1" x14ac:dyDescent="0.3">
      <c r="A2" s="16">
        <v>1</v>
      </c>
      <c r="B2" s="17" t="s">
        <v>10</v>
      </c>
      <c r="C2" s="17" t="s">
        <v>193</v>
      </c>
      <c r="D2" s="44" t="s">
        <v>5</v>
      </c>
      <c r="E2" s="44" t="s">
        <v>84</v>
      </c>
      <c r="F2" s="17" t="s">
        <v>85</v>
      </c>
      <c r="G2" s="17" t="s">
        <v>94</v>
      </c>
      <c r="H2" s="18">
        <v>10160</v>
      </c>
      <c r="I2" s="19" t="s">
        <v>11</v>
      </c>
      <c r="J2" s="20" t="s">
        <v>197</v>
      </c>
      <c r="K2" s="21">
        <v>45511</v>
      </c>
      <c r="L2" s="21">
        <v>45514</v>
      </c>
      <c r="M2" s="17" t="s">
        <v>17</v>
      </c>
      <c r="N2" s="22" t="s">
        <v>111</v>
      </c>
      <c r="O2" s="1"/>
    </row>
    <row r="3" spans="1:15" ht="20.100000000000001" customHeight="1" x14ac:dyDescent="0.3">
      <c r="A3" s="16">
        <v>2</v>
      </c>
      <c r="B3" s="23" t="s">
        <v>12</v>
      </c>
      <c r="C3" s="23" t="s">
        <v>188</v>
      </c>
      <c r="D3" s="45" t="s">
        <v>5</v>
      </c>
      <c r="E3" s="45" t="s">
        <v>84</v>
      </c>
      <c r="F3" s="23" t="s">
        <v>85</v>
      </c>
      <c r="G3" s="23" t="s">
        <v>95</v>
      </c>
      <c r="H3" s="24">
        <v>9749</v>
      </c>
      <c r="I3" s="24">
        <v>9749</v>
      </c>
      <c r="J3" s="26" t="s">
        <v>198</v>
      </c>
      <c r="K3" s="27">
        <v>45512</v>
      </c>
      <c r="L3" s="27">
        <v>45515</v>
      </c>
      <c r="M3" s="23" t="s">
        <v>17</v>
      </c>
      <c r="N3" s="22" t="s">
        <v>111</v>
      </c>
      <c r="O3" s="1"/>
    </row>
    <row r="4" spans="1:15" ht="20.100000000000001" customHeight="1" x14ac:dyDescent="0.3">
      <c r="A4" s="16">
        <v>3</v>
      </c>
      <c r="B4" s="23" t="s">
        <v>13</v>
      </c>
      <c r="C4" s="23" t="s">
        <v>14</v>
      </c>
      <c r="D4" s="45" t="s">
        <v>5</v>
      </c>
      <c r="E4" s="45" t="s">
        <v>84</v>
      </c>
      <c r="F4" s="23" t="s">
        <v>92</v>
      </c>
      <c r="G4" s="23" t="s">
        <v>96</v>
      </c>
      <c r="H4" s="24">
        <v>10067.68</v>
      </c>
      <c r="I4" s="24">
        <v>10067.68</v>
      </c>
      <c r="J4" s="26" t="s">
        <v>197</v>
      </c>
      <c r="K4" s="27">
        <v>45516</v>
      </c>
      <c r="L4" s="27">
        <v>45519</v>
      </c>
      <c r="M4" s="23" t="s">
        <v>23</v>
      </c>
      <c r="N4" s="28" t="s">
        <v>109</v>
      </c>
      <c r="O4" s="1"/>
    </row>
    <row r="5" spans="1:15" ht="20.100000000000001" customHeight="1" x14ac:dyDescent="0.3">
      <c r="A5" s="16">
        <v>4</v>
      </c>
      <c r="B5" s="23" t="s">
        <v>15</v>
      </c>
      <c r="C5" s="23" t="s">
        <v>16</v>
      </c>
      <c r="D5" s="45" t="s">
        <v>5</v>
      </c>
      <c r="E5" s="45" t="s">
        <v>160</v>
      </c>
      <c r="F5" s="23" t="s">
        <v>105</v>
      </c>
      <c r="G5" s="23" t="s">
        <v>95</v>
      </c>
      <c r="H5" s="24">
        <v>8642</v>
      </c>
      <c r="I5" s="25" t="s">
        <v>11</v>
      </c>
      <c r="J5" s="27">
        <v>45529</v>
      </c>
      <c r="K5" s="27">
        <v>45542</v>
      </c>
      <c r="L5" s="27">
        <v>45531</v>
      </c>
      <c r="M5" s="23" t="s">
        <v>17</v>
      </c>
      <c r="N5" s="22" t="s">
        <v>111</v>
      </c>
      <c r="O5" s="1"/>
    </row>
    <row r="6" spans="1:15" ht="20.100000000000001" customHeight="1" x14ac:dyDescent="0.3">
      <c r="A6" s="16">
        <v>5</v>
      </c>
      <c r="B6" s="23" t="s">
        <v>18</v>
      </c>
      <c r="C6" s="23" t="s">
        <v>14</v>
      </c>
      <c r="D6" s="45" t="s">
        <v>5</v>
      </c>
      <c r="E6" s="45" t="s">
        <v>84</v>
      </c>
      <c r="F6" s="23" t="s">
        <v>92</v>
      </c>
      <c r="G6" s="23" t="s">
        <v>98</v>
      </c>
      <c r="H6" s="24">
        <v>12833</v>
      </c>
      <c r="I6" s="24">
        <v>12974.22</v>
      </c>
      <c r="J6" s="27">
        <v>45520</v>
      </c>
      <c r="K6" s="27">
        <v>45535</v>
      </c>
      <c r="L6" s="27">
        <v>45537</v>
      </c>
      <c r="M6" s="23" t="s">
        <v>23</v>
      </c>
      <c r="N6" s="28" t="s">
        <v>109</v>
      </c>
      <c r="O6" s="1"/>
    </row>
    <row r="7" spans="1:15" ht="20.100000000000001" customHeight="1" x14ac:dyDescent="0.3">
      <c r="A7" s="16">
        <v>6</v>
      </c>
      <c r="B7" s="23" t="s">
        <v>19</v>
      </c>
      <c r="C7" s="23" t="s">
        <v>128</v>
      </c>
      <c r="D7" s="45" t="s">
        <v>19</v>
      </c>
      <c r="E7" s="45" t="s">
        <v>93</v>
      </c>
      <c r="F7" s="23" t="s">
        <v>117</v>
      </c>
      <c r="G7" s="23" t="s">
        <v>98</v>
      </c>
      <c r="H7" s="24">
        <v>14550</v>
      </c>
      <c r="I7" s="25" t="s">
        <v>11</v>
      </c>
      <c r="J7" s="27">
        <v>45518</v>
      </c>
      <c r="K7" s="27">
        <v>45538</v>
      </c>
      <c r="L7" s="27">
        <v>45540</v>
      </c>
      <c r="M7" s="23" t="s">
        <v>17</v>
      </c>
      <c r="N7" s="22" t="s">
        <v>111</v>
      </c>
      <c r="O7" s="1"/>
    </row>
    <row r="8" spans="1:15" ht="20.100000000000001" customHeight="1" x14ac:dyDescent="0.3">
      <c r="A8" s="16">
        <v>7</v>
      </c>
      <c r="B8" s="23" t="s">
        <v>20</v>
      </c>
      <c r="C8" s="23" t="s">
        <v>21</v>
      </c>
      <c r="D8" s="45" t="s">
        <v>155</v>
      </c>
      <c r="E8" s="45" t="s">
        <v>93</v>
      </c>
      <c r="F8" s="23" t="s">
        <v>117</v>
      </c>
      <c r="G8" s="23" t="s">
        <v>98</v>
      </c>
      <c r="H8" s="24">
        <v>12000</v>
      </c>
      <c r="I8" s="24">
        <v>12000</v>
      </c>
      <c r="J8" s="27">
        <v>45521</v>
      </c>
      <c r="K8" s="27">
        <v>45524</v>
      </c>
      <c r="L8" s="27">
        <v>45523</v>
      </c>
      <c r="M8" s="23" t="s">
        <v>22</v>
      </c>
      <c r="N8" s="22" t="s">
        <v>111</v>
      </c>
      <c r="O8" s="1"/>
    </row>
    <row r="9" spans="1:15" ht="20.100000000000001" customHeight="1" x14ac:dyDescent="0.3">
      <c r="A9" s="16">
        <v>8</v>
      </c>
      <c r="B9" s="23" t="s">
        <v>24</v>
      </c>
      <c r="C9" s="23" t="s">
        <v>130</v>
      </c>
      <c r="D9" s="45" t="s">
        <v>5</v>
      </c>
      <c r="E9" s="45" t="s">
        <v>84</v>
      </c>
      <c r="F9" s="23" t="s">
        <v>86</v>
      </c>
      <c r="G9" s="23" t="s">
        <v>94</v>
      </c>
      <c r="H9" s="24">
        <v>7228</v>
      </c>
      <c r="I9" s="25" t="s">
        <v>11</v>
      </c>
      <c r="J9" s="27">
        <v>45529</v>
      </c>
      <c r="K9" s="27">
        <v>45538</v>
      </c>
      <c r="L9" s="27">
        <v>45545</v>
      </c>
      <c r="M9" s="23" t="s">
        <v>17</v>
      </c>
      <c r="N9" s="22" t="s">
        <v>111</v>
      </c>
      <c r="O9" s="1"/>
    </row>
    <row r="10" spans="1:15" ht="20.100000000000001" customHeight="1" x14ac:dyDescent="0.3">
      <c r="A10" s="16">
        <v>9</v>
      </c>
      <c r="B10" s="23" t="s">
        <v>25</v>
      </c>
      <c r="C10" s="23" t="s">
        <v>26</v>
      </c>
      <c r="D10" s="45" t="s">
        <v>27</v>
      </c>
      <c r="E10" s="45" t="s">
        <v>87</v>
      </c>
      <c r="F10" s="23" t="s">
        <v>89</v>
      </c>
      <c r="G10" s="23" t="s">
        <v>95</v>
      </c>
      <c r="H10" s="24">
        <v>22000</v>
      </c>
      <c r="I10" s="24">
        <v>22000</v>
      </c>
      <c r="J10" s="27">
        <v>45523</v>
      </c>
      <c r="K10" s="27">
        <v>45536</v>
      </c>
      <c r="L10" s="21">
        <v>45552</v>
      </c>
      <c r="M10" s="23" t="s">
        <v>112</v>
      </c>
      <c r="N10" s="22" t="s">
        <v>111</v>
      </c>
      <c r="O10" s="1"/>
    </row>
    <row r="11" spans="1:15" ht="20.100000000000001" customHeight="1" x14ac:dyDescent="0.3">
      <c r="A11" s="16">
        <v>10</v>
      </c>
      <c r="B11" s="23" t="s">
        <v>25</v>
      </c>
      <c r="C11" s="23" t="s">
        <v>28</v>
      </c>
      <c r="D11" s="45" t="s">
        <v>27</v>
      </c>
      <c r="E11" s="45" t="s">
        <v>90</v>
      </c>
      <c r="F11" s="23" t="s">
        <v>88</v>
      </c>
      <c r="G11" s="23" t="s">
        <v>95</v>
      </c>
      <c r="H11" s="24">
        <v>12000</v>
      </c>
      <c r="I11" s="24">
        <v>12000</v>
      </c>
      <c r="J11" s="27">
        <v>45529</v>
      </c>
      <c r="K11" s="27">
        <v>45550</v>
      </c>
      <c r="L11" s="21">
        <v>45552</v>
      </c>
      <c r="M11" s="23" t="s">
        <v>112</v>
      </c>
      <c r="N11" s="22" t="s">
        <v>111</v>
      </c>
      <c r="O11" s="1"/>
    </row>
    <row r="12" spans="1:15" ht="20.100000000000001" customHeight="1" x14ac:dyDescent="0.3">
      <c r="A12" s="16">
        <v>11</v>
      </c>
      <c r="B12" s="23" t="s">
        <v>29</v>
      </c>
      <c r="C12" s="23" t="s">
        <v>30</v>
      </c>
      <c r="D12" s="45" t="s">
        <v>5</v>
      </c>
      <c r="E12" s="45" t="s">
        <v>84</v>
      </c>
      <c r="F12" s="23" t="s">
        <v>92</v>
      </c>
      <c r="G12" s="23" t="s">
        <v>94</v>
      </c>
      <c r="H12" s="24">
        <v>8924</v>
      </c>
      <c r="I12" s="24">
        <v>8924</v>
      </c>
      <c r="J12" s="27">
        <v>45536</v>
      </c>
      <c r="K12" s="27">
        <v>45551</v>
      </c>
      <c r="L12" s="27">
        <v>45543</v>
      </c>
      <c r="M12" s="23" t="s">
        <v>17</v>
      </c>
      <c r="N12" s="22" t="s">
        <v>111</v>
      </c>
      <c r="O12" s="1"/>
    </row>
    <row r="13" spans="1:15" ht="20.100000000000001" customHeight="1" x14ac:dyDescent="0.3">
      <c r="A13" s="16">
        <v>12</v>
      </c>
      <c r="B13" s="23" t="s">
        <v>39</v>
      </c>
      <c r="C13" s="29" t="s">
        <v>130</v>
      </c>
      <c r="D13" s="45" t="s">
        <v>5</v>
      </c>
      <c r="E13" s="45" t="s">
        <v>84</v>
      </c>
      <c r="F13" s="23" t="s">
        <v>86</v>
      </c>
      <c r="G13" s="23" t="s">
        <v>94</v>
      </c>
      <c r="H13" s="24">
        <v>5895</v>
      </c>
      <c r="I13" s="24">
        <v>5895</v>
      </c>
      <c r="J13" s="27">
        <v>45540</v>
      </c>
      <c r="K13" s="27">
        <v>45549</v>
      </c>
      <c r="L13" s="27">
        <v>45555</v>
      </c>
      <c r="M13" s="23" t="s">
        <v>60</v>
      </c>
      <c r="N13" s="28" t="s">
        <v>134</v>
      </c>
      <c r="O13" s="1"/>
    </row>
    <row r="14" spans="1:15" ht="20.100000000000001" customHeight="1" x14ac:dyDescent="0.3">
      <c r="A14" s="16">
        <v>13</v>
      </c>
      <c r="B14" s="23" t="s">
        <v>37</v>
      </c>
      <c r="C14" s="23" t="s">
        <v>38</v>
      </c>
      <c r="D14" s="45" t="s">
        <v>5</v>
      </c>
      <c r="E14" s="45" t="s">
        <v>160</v>
      </c>
      <c r="F14" s="23" t="s">
        <v>105</v>
      </c>
      <c r="G14" s="23" t="s">
        <v>95</v>
      </c>
      <c r="H14" s="24">
        <v>7849</v>
      </c>
      <c r="I14" s="25" t="s">
        <v>11</v>
      </c>
      <c r="J14" s="27">
        <v>45539</v>
      </c>
      <c r="K14" s="27">
        <v>45551</v>
      </c>
      <c r="L14" s="27">
        <v>45560</v>
      </c>
      <c r="M14" s="23" t="s">
        <v>17</v>
      </c>
      <c r="N14" s="28" t="s">
        <v>119</v>
      </c>
      <c r="O14" s="1"/>
    </row>
    <row r="15" spans="1:15" ht="20.100000000000001" customHeight="1" x14ac:dyDescent="0.3">
      <c r="A15" s="16">
        <v>14</v>
      </c>
      <c r="B15" s="17" t="s">
        <v>32</v>
      </c>
      <c r="C15" s="17" t="s">
        <v>33</v>
      </c>
      <c r="D15" s="44" t="s">
        <v>34</v>
      </c>
      <c r="E15" s="48" t="s">
        <v>84</v>
      </c>
      <c r="F15" s="17" t="s">
        <v>92</v>
      </c>
      <c r="G15" s="23" t="s">
        <v>95</v>
      </c>
      <c r="H15" s="24">
        <v>9700</v>
      </c>
      <c r="I15" s="18">
        <v>9700</v>
      </c>
      <c r="J15" s="21">
        <v>45538</v>
      </c>
      <c r="K15" s="21">
        <v>45551</v>
      </c>
      <c r="L15" s="21">
        <v>45550</v>
      </c>
      <c r="M15" s="23" t="s">
        <v>112</v>
      </c>
      <c r="N15" s="22" t="s">
        <v>111</v>
      </c>
      <c r="O15" s="1"/>
    </row>
    <row r="16" spans="1:15" ht="20.100000000000001" customHeight="1" x14ac:dyDescent="0.3">
      <c r="A16" s="16">
        <v>15</v>
      </c>
      <c r="B16" s="23" t="s">
        <v>35</v>
      </c>
      <c r="C16" s="23" t="s">
        <v>36</v>
      </c>
      <c r="D16" s="45" t="s">
        <v>5</v>
      </c>
      <c r="E16" s="45" t="s">
        <v>84</v>
      </c>
      <c r="F16" s="23" t="s">
        <v>92</v>
      </c>
      <c r="G16" s="23" t="s">
        <v>94</v>
      </c>
      <c r="H16" s="24">
        <v>11310</v>
      </c>
      <c r="I16" s="24">
        <v>11310</v>
      </c>
      <c r="J16" s="27">
        <v>45539</v>
      </c>
      <c r="K16" s="27">
        <v>45553</v>
      </c>
      <c r="L16" s="27">
        <v>45555</v>
      </c>
      <c r="M16" s="23" t="s">
        <v>60</v>
      </c>
      <c r="N16" s="28" t="s">
        <v>134</v>
      </c>
      <c r="O16" s="1"/>
    </row>
    <row r="17" spans="1:15" ht="20.100000000000001" customHeight="1" x14ac:dyDescent="0.3">
      <c r="A17" s="16">
        <v>16</v>
      </c>
      <c r="B17" s="23" t="s">
        <v>20</v>
      </c>
      <c r="C17" s="23" t="s">
        <v>30</v>
      </c>
      <c r="D17" s="45" t="s">
        <v>5</v>
      </c>
      <c r="E17" s="45" t="s">
        <v>84</v>
      </c>
      <c r="F17" s="23" t="s">
        <v>86</v>
      </c>
      <c r="G17" s="23" t="s">
        <v>94</v>
      </c>
      <c r="H17" s="24">
        <v>7987</v>
      </c>
      <c r="I17" s="25" t="s">
        <v>11</v>
      </c>
      <c r="J17" s="27">
        <v>45541</v>
      </c>
      <c r="K17" s="27">
        <v>45551</v>
      </c>
      <c r="L17" s="27">
        <v>45556</v>
      </c>
      <c r="M17" s="23" t="s">
        <v>112</v>
      </c>
      <c r="N17" s="22" t="s">
        <v>111</v>
      </c>
      <c r="O17" s="1"/>
    </row>
    <row r="18" spans="1:15" ht="20.100000000000001" customHeight="1" x14ac:dyDescent="0.3">
      <c r="A18" s="16">
        <v>17</v>
      </c>
      <c r="B18" s="17" t="s">
        <v>27</v>
      </c>
      <c r="C18" s="17" t="s">
        <v>26</v>
      </c>
      <c r="D18" s="44" t="s">
        <v>27</v>
      </c>
      <c r="E18" s="44" t="s">
        <v>91</v>
      </c>
      <c r="F18" s="17" t="s">
        <v>194</v>
      </c>
      <c r="G18" s="17" t="s">
        <v>95</v>
      </c>
      <c r="H18" s="18">
        <v>9300</v>
      </c>
      <c r="I18" s="18">
        <v>9300</v>
      </c>
      <c r="J18" s="21">
        <v>45539</v>
      </c>
      <c r="K18" s="21">
        <v>45550</v>
      </c>
      <c r="L18" s="21">
        <v>45552</v>
      </c>
      <c r="M18" s="23" t="s">
        <v>112</v>
      </c>
      <c r="N18" s="22" t="s">
        <v>111</v>
      </c>
      <c r="O18" s="1"/>
    </row>
    <row r="19" spans="1:15" ht="20.100000000000001" customHeight="1" x14ac:dyDescent="0.3">
      <c r="A19" s="16">
        <v>18</v>
      </c>
      <c r="B19" s="30" t="s">
        <v>57</v>
      </c>
      <c r="C19" s="30" t="s">
        <v>58</v>
      </c>
      <c r="D19" s="45" t="s">
        <v>5</v>
      </c>
      <c r="E19" s="45" t="s">
        <v>160</v>
      </c>
      <c r="F19" s="23" t="s">
        <v>105</v>
      </c>
      <c r="G19" s="30" t="s">
        <v>95</v>
      </c>
      <c r="H19" s="31">
        <v>8849</v>
      </c>
      <c r="I19" s="41" t="s">
        <v>11</v>
      </c>
      <c r="J19" s="32">
        <v>45538</v>
      </c>
      <c r="K19" s="32">
        <v>45581</v>
      </c>
      <c r="L19" s="32">
        <v>45585</v>
      </c>
      <c r="M19" s="30" t="s">
        <v>60</v>
      </c>
      <c r="N19" s="28" t="s">
        <v>134</v>
      </c>
      <c r="O19" s="1"/>
    </row>
    <row r="20" spans="1:15" ht="20.100000000000001" customHeight="1" x14ac:dyDescent="0.3">
      <c r="A20" s="16">
        <v>19</v>
      </c>
      <c r="B20" s="23" t="s">
        <v>40</v>
      </c>
      <c r="C20" s="23" t="s">
        <v>190</v>
      </c>
      <c r="D20" s="45" t="s">
        <v>5</v>
      </c>
      <c r="E20" s="45" t="s">
        <v>84</v>
      </c>
      <c r="F20" s="23" t="s">
        <v>86</v>
      </c>
      <c r="G20" s="23" t="s">
        <v>94</v>
      </c>
      <c r="H20" s="24">
        <v>10987</v>
      </c>
      <c r="I20" s="25" t="s">
        <v>11</v>
      </c>
      <c r="J20" s="27">
        <v>45544</v>
      </c>
      <c r="K20" s="27">
        <v>45552</v>
      </c>
      <c r="L20" s="27">
        <v>45556</v>
      </c>
      <c r="M20" s="23" t="s">
        <v>112</v>
      </c>
      <c r="N20" s="22" t="s">
        <v>111</v>
      </c>
      <c r="O20" s="1"/>
    </row>
    <row r="21" spans="1:15" ht="20.100000000000001" customHeight="1" x14ac:dyDescent="0.3">
      <c r="A21" s="16">
        <v>20</v>
      </c>
      <c r="B21" s="23" t="s">
        <v>19</v>
      </c>
      <c r="C21" s="23" t="s">
        <v>128</v>
      </c>
      <c r="D21" s="45" t="s">
        <v>19</v>
      </c>
      <c r="E21" s="45" t="s">
        <v>84</v>
      </c>
      <c r="F21" s="23" t="s">
        <v>92</v>
      </c>
      <c r="G21" s="23" t="s">
        <v>94</v>
      </c>
      <c r="H21" s="24">
        <v>5781.75</v>
      </c>
      <c r="I21" s="24">
        <v>5781.75</v>
      </c>
      <c r="J21" s="27">
        <v>45536</v>
      </c>
      <c r="K21" s="27">
        <v>45554</v>
      </c>
      <c r="L21" s="27">
        <v>45556</v>
      </c>
      <c r="M21" s="23" t="s">
        <v>112</v>
      </c>
      <c r="N21" s="22" t="s">
        <v>111</v>
      </c>
      <c r="O21" s="1"/>
    </row>
    <row r="22" spans="1:15" ht="20.100000000000001" customHeight="1" x14ac:dyDescent="0.3">
      <c r="A22" s="16">
        <v>21</v>
      </c>
      <c r="B22" s="23" t="s">
        <v>19</v>
      </c>
      <c r="C22" s="23" t="s">
        <v>128</v>
      </c>
      <c r="D22" s="45" t="s">
        <v>31</v>
      </c>
      <c r="E22" s="45" t="s">
        <v>84</v>
      </c>
      <c r="F22" s="23" t="s">
        <v>92</v>
      </c>
      <c r="G22" s="23" t="s">
        <v>95</v>
      </c>
      <c r="H22" s="24">
        <v>1278.53</v>
      </c>
      <c r="I22" s="24">
        <v>1278.53</v>
      </c>
      <c r="J22" s="27">
        <v>45536</v>
      </c>
      <c r="K22" s="27">
        <v>45554</v>
      </c>
      <c r="L22" s="27">
        <v>45556</v>
      </c>
      <c r="M22" s="23" t="s">
        <v>112</v>
      </c>
      <c r="N22" s="22" t="s">
        <v>111</v>
      </c>
      <c r="O22" s="1"/>
    </row>
    <row r="23" spans="1:15" ht="20.100000000000001" customHeight="1" x14ac:dyDescent="0.3">
      <c r="A23" s="16">
        <v>22</v>
      </c>
      <c r="B23" s="23" t="s">
        <v>47</v>
      </c>
      <c r="C23" s="23" t="s">
        <v>48</v>
      </c>
      <c r="D23" s="45" t="s">
        <v>34</v>
      </c>
      <c r="E23" s="45" t="s">
        <v>84</v>
      </c>
      <c r="F23" s="23" t="s">
        <v>86</v>
      </c>
      <c r="G23" s="23" t="s">
        <v>94</v>
      </c>
      <c r="H23" s="24">
        <v>4020</v>
      </c>
      <c r="I23" s="25" t="s">
        <v>49</v>
      </c>
      <c r="J23" s="27">
        <v>45547</v>
      </c>
      <c r="K23" s="27">
        <v>45556</v>
      </c>
      <c r="L23" s="27">
        <v>45557</v>
      </c>
      <c r="M23" s="23" t="s">
        <v>112</v>
      </c>
      <c r="N23" s="22" t="s">
        <v>111</v>
      </c>
      <c r="O23" s="1"/>
    </row>
    <row r="24" spans="1:15" ht="20.100000000000001" customHeight="1" x14ac:dyDescent="0.3">
      <c r="A24" s="16">
        <v>23</v>
      </c>
      <c r="B24" s="23" t="s">
        <v>47</v>
      </c>
      <c r="C24" s="23" t="s">
        <v>48</v>
      </c>
      <c r="D24" s="45" t="s">
        <v>34</v>
      </c>
      <c r="E24" s="45" t="s">
        <v>84</v>
      </c>
      <c r="F24" s="23" t="s">
        <v>86</v>
      </c>
      <c r="G24" s="23" t="s">
        <v>95</v>
      </c>
      <c r="H24" s="24">
        <v>4020</v>
      </c>
      <c r="I24" s="25" t="s">
        <v>64</v>
      </c>
      <c r="J24" s="27">
        <v>45547</v>
      </c>
      <c r="K24" s="27">
        <v>45556</v>
      </c>
      <c r="L24" s="27">
        <v>45557</v>
      </c>
      <c r="M24" s="23" t="s">
        <v>112</v>
      </c>
      <c r="N24" s="22" t="s">
        <v>111</v>
      </c>
      <c r="O24" s="1"/>
    </row>
    <row r="25" spans="1:15" ht="20.100000000000001" customHeight="1" x14ac:dyDescent="0.3">
      <c r="A25" s="16">
        <v>24</v>
      </c>
      <c r="B25" s="23" t="s">
        <v>81</v>
      </c>
      <c r="C25" s="23" t="s">
        <v>82</v>
      </c>
      <c r="D25" s="45" t="s">
        <v>5</v>
      </c>
      <c r="E25" s="45" t="s">
        <v>84</v>
      </c>
      <c r="F25" s="23" t="s">
        <v>85</v>
      </c>
      <c r="G25" s="23" t="s">
        <v>95</v>
      </c>
      <c r="H25" s="24">
        <v>9399</v>
      </c>
      <c r="I25" s="25" t="s">
        <v>64</v>
      </c>
      <c r="J25" s="27">
        <v>45549</v>
      </c>
      <c r="K25" s="27">
        <v>45557</v>
      </c>
      <c r="L25" s="27">
        <v>45565</v>
      </c>
      <c r="M25" s="23" t="s">
        <v>23</v>
      </c>
      <c r="N25" s="28" t="s">
        <v>109</v>
      </c>
      <c r="O25" s="1"/>
    </row>
    <row r="26" spans="1:15" ht="20.100000000000001" customHeight="1" x14ac:dyDescent="0.3">
      <c r="A26" s="16">
        <v>25</v>
      </c>
      <c r="B26" s="23" t="s">
        <v>83</v>
      </c>
      <c r="C26" s="23" t="s">
        <v>189</v>
      </c>
      <c r="D26" s="45" t="s">
        <v>5</v>
      </c>
      <c r="E26" s="45" t="s">
        <v>160</v>
      </c>
      <c r="F26" s="23" t="s">
        <v>107</v>
      </c>
      <c r="G26" s="23" t="s">
        <v>95</v>
      </c>
      <c r="H26" s="24">
        <v>8349</v>
      </c>
      <c r="I26" s="25" t="s">
        <v>64</v>
      </c>
      <c r="J26" s="27">
        <v>45549</v>
      </c>
      <c r="K26" s="27">
        <v>45557</v>
      </c>
      <c r="L26" s="27">
        <v>45559</v>
      </c>
      <c r="M26" s="23" t="s">
        <v>17</v>
      </c>
      <c r="N26" s="22" t="s">
        <v>111</v>
      </c>
      <c r="O26" s="1"/>
    </row>
    <row r="27" spans="1:15" ht="20.100000000000001" customHeight="1" x14ac:dyDescent="0.3">
      <c r="A27" s="33">
        <v>26</v>
      </c>
      <c r="B27" s="23" t="s">
        <v>200</v>
      </c>
      <c r="C27" s="23" t="s">
        <v>201</v>
      </c>
      <c r="D27" s="45" t="s">
        <v>5</v>
      </c>
      <c r="E27" s="45" t="s">
        <v>84</v>
      </c>
      <c r="F27" s="23" t="s">
        <v>85</v>
      </c>
      <c r="G27" s="23" t="s">
        <v>95</v>
      </c>
      <c r="H27" s="24">
        <v>9399</v>
      </c>
      <c r="I27" s="25" t="s">
        <v>11</v>
      </c>
      <c r="J27" s="27">
        <v>45548</v>
      </c>
      <c r="K27" s="27">
        <v>45559</v>
      </c>
      <c r="L27" s="27">
        <v>45566</v>
      </c>
      <c r="M27" s="23" t="s">
        <v>17</v>
      </c>
      <c r="N27" s="22" t="s">
        <v>111</v>
      </c>
      <c r="O27" s="1"/>
    </row>
    <row r="28" spans="1:15" ht="20.100000000000001" customHeight="1" x14ac:dyDescent="0.3">
      <c r="A28" s="16">
        <v>27</v>
      </c>
      <c r="B28" s="23" t="s">
        <v>41</v>
      </c>
      <c r="C28" s="23" t="s">
        <v>42</v>
      </c>
      <c r="D28" s="45" t="s">
        <v>5</v>
      </c>
      <c r="E28" s="45" t="s">
        <v>160</v>
      </c>
      <c r="F28" s="23" t="s">
        <v>105</v>
      </c>
      <c r="G28" s="23" t="s">
        <v>95</v>
      </c>
      <c r="H28" s="24">
        <v>7849</v>
      </c>
      <c r="I28" s="24">
        <v>7928</v>
      </c>
      <c r="J28" s="27">
        <v>45547</v>
      </c>
      <c r="K28" s="27">
        <v>45561</v>
      </c>
      <c r="L28" s="27">
        <v>45556</v>
      </c>
      <c r="M28" s="23" t="s">
        <v>17</v>
      </c>
      <c r="N28" s="28" t="s">
        <v>196</v>
      </c>
      <c r="O28" s="1"/>
    </row>
    <row r="29" spans="1:15" ht="20.100000000000001" customHeight="1" x14ac:dyDescent="0.3">
      <c r="A29" s="16">
        <v>28</v>
      </c>
      <c r="B29" s="30" t="s">
        <v>46</v>
      </c>
      <c r="C29" s="30" t="s">
        <v>193</v>
      </c>
      <c r="D29" s="46" t="s">
        <v>155</v>
      </c>
      <c r="E29" s="46" t="s">
        <v>84</v>
      </c>
      <c r="F29" s="30" t="s">
        <v>97</v>
      </c>
      <c r="G29" s="30" t="s">
        <v>95</v>
      </c>
      <c r="H29" s="31">
        <v>9450</v>
      </c>
      <c r="I29" s="31">
        <v>9450</v>
      </c>
      <c r="J29" s="32">
        <v>45547</v>
      </c>
      <c r="K29" s="32">
        <v>45561</v>
      </c>
      <c r="L29" s="32">
        <v>45565</v>
      </c>
      <c r="M29" s="30" t="s">
        <v>60</v>
      </c>
      <c r="N29" s="28" t="s">
        <v>134</v>
      </c>
      <c r="O29" s="1"/>
    </row>
    <row r="30" spans="1:15" ht="20.100000000000001" customHeight="1" x14ac:dyDescent="0.3">
      <c r="A30" s="16">
        <v>29</v>
      </c>
      <c r="B30" s="30" t="s">
        <v>53</v>
      </c>
      <c r="C30" s="30" t="s">
        <v>30</v>
      </c>
      <c r="D30" s="45" t="s">
        <v>5</v>
      </c>
      <c r="E30" s="46" t="s">
        <v>84</v>
      </c>
      <c r="F30" s="23" t="s">
        <v>86</v>
      </c>
      <c r="G30" s="30" t="s">
        <v>95</v>
      </c>
      <c r="H30" s="31">
        <v>7460</v>
      </c>
      <c r="I30" s="41" t="s">
        <v>11</v>
      </c>
      <c r="J30" s="32">
        <v>45548</v>
      </c>
      <c r="K30" s="32">
        <v>45561</v>
      </c>
      <c r="L30" s="32">
        <v>45568</v>
      </c>
      <c r="M30" s="23" t="s">
        <v>112</v>
      </c>
      <c r="N30" s="22" t="s">
        <v>111</v>
      </c>
      <c r="O30" s="1"/>
    </row>
    <row r="31" spans="1:15" ht="20.100000000000001" customHeight="1" x14ac:dyDescent="0.3">
      <c r="A31" s="16">
        <v>30</v>
      </c>
      <c r="B31" s="30" t="s">
        <v>55</v>
      </c>
      <c r="C31" s="23" t="s">
        <v>30</v>
      </c>
      <c r="D31" s="45" t="s">
        <v>5</v>
      </c>
      <c r="E31" s="46" t="s">
        <v>84</v>
      </c>
      <c r="F31" s="23" t="s">
        <v>86</v>
      </c>
      <c r="G31" s="30" t="s">
        <v>100</v>
      </c>
      <c r="H31" s="31">
        <v>9528</v>
      </c>
      <c r="I31" s="41" t="s">
        <v>11</v>
      </c>
      <c r="J31" s="32">
        <v>45548</v>
      </c>
      <c r="K31" s="32">
        <v>45561</v>
      </c>
      <c r="L31" s="32">
        <v>45568</v>
      </c>
      <c r="M31" s="23" t="s">
        <v>112</v>
      </c>
      <c r="N31" s="22" t="s">
        <v>111</v>
      </c>
      <c r="O31" s="1"/>
    </row>
    <row r="32" spans="1:15" ht="20.100000000000001" customHeight="1" x14ac:dyDescent="0.3">
      <c r="A32" s="16">
        <v>31</v>
      </c>
      <c r="B32" s="23" t="s">
        <v>80</v>
      </c>
      <c r="C32" s="23" t="s">
        <v>190</v>
      </c>
      <c r="D32" s="45" t="s">
        <v>5</v>
      </c>
      <c r="E32" s="45" t="s">
        <v>84</v>
      </c>
      <c r="F32" s="23" t="s">
        <v>92</v>
      </c>
      <c r="G32" s="23" t="s">
        <v>98</v>
      </c>
      <c r="H32" s="24">
        <v>12999</v>
      </c>
      <c r="I32" s="25" t="s">
        <v>11</v>
      </c>
      <c r="J32" s="27">
        <v>45549</v>
      </c>
      <c r="K32" s="27">
        <v>45562</v>
      </c>
      <c r="L32" s="27">
        <v>45567</v>
      </c>
      <c r="M32" s="23" t="s">
        <v>112</v>
      </c>
      <c r="N32" s="22" t="s">
        <v>111</v>
      </c>
      <c r="O32" s="1"/>
    </row>
    <row r="33" spans="1:15" ht="20.100000000000001" customHeight="1" x14ac:dyDescent="0.3">
      <c r="A33" s="16">
        <v>32</v>
      </c>
      <c r="B33" s="23" t="s">
        <v>43</v>
      </c>
      <c r="C33" s="23" t="s">
        <v>50</v>
      </c>
      <c r="D33" s="45" t="s">
        <v>5</v>
      </c>
      <c r="E33" s="45" t="s">
        <v>84</v>
      </c>
      <c r="F33" s="23" t="s">
        <v>92</v>
      </c>
      <c r="G33" s="23" t="s">
        <v>95</v>
      </c>
      <c r="H33" s="24">
        <v>5999</v>
      </c>
      <c r="I33" s="25" t="s">
        <v>11</v>
      </c>
      <c r="J33" s="27">
        <v>45547</v>
      </c>
      <c r="K33" s="27">
        <v>45564</v>
      </c>
      <c r="L33" s="27">
        <v>45567</v>
      </c>
      <c r="M33" s="23" t="s">
        <v>60</v>
      </c>
      <c r="N33" s="28" t="s">
        <v>134</v>
      </c>
      <c r="O33" s="1"/>
    </row>
    <row r="34" spans="1:15" ht="20.100000000000001" customHeight="1" x14ac:dyDescent="0.3">
      <c r="A34" s="16">
        <v>33</v>
      </c>
      <c r="B34" s="23" t="s">
        <v>44</v>
      </c>
      <c r="C34" s="23" t="s">
        <v>45</v>
      </c>
      <c r="D34" s="45" t="s">
        <v>5</v>
      </c>
      <c r="E34" s="45" t="s">
        <v>84</v>
      </c>
      <c r="F34" s="23" t="s">
        <v>92</v>
      </c>
      <c r="G34" s="23" t="s">
        <v>95</v>
      </c>
      <c r="H34" s="24">
        <v>10749</v>
      </c>
      <c r="I34" s="24">
        <v>10749</v>
      </c>
      <c r="J34" s="27">
        <v>45547</v>
      </c>
      <c r="K34" s="27">
        <v>45564</v>
      </c>
      <c r="L34" s="27">
        <v>45567</v>
      </c>
      <c r="M34" s="23" t="s">
        <v>112</v>
      </c>
      <c r="N34" s="22" t="s">
        <v>111</v>
      </c>
      <c r="O34" s="1"/>
    </row>
    <row r="35" spans="1:15" ht="20.100000000000001" customHeight="1" x14ac:dyDescent="0.3">
      <c r="A35" s="16">
        <v>34</v>
      </c>
      <c r="B35" s="30" t="s">
        <v>20</v>
      </c>
      <c r="C35" s="30" t="s">
        <v>50</v>
      </c>
      <c r="D35" s="45" t="s">
        <v>5</v>
      </c>
      <c r="E35" s="46" t="s">
        <v>84</v>
      </c>
      <c r="F35" s="23" t="s">
        <v>97</v>
      </c>
      <c r="G35" s="30" t="s">
        <v>94</v>
      </c>
      <c r="H35" s="31">
        <v>16599</v>
      </c>
      <c r="I35" s="41" t="s">
        <v>11</v>
      </c>
      <c r="J35" s="32">
        <v>45548</v>
      </c>
      <c r="K35" s="32">
        <v>45565</v>
      </c>
      <c r="L35" s="32">
        <v>45568</v>
      </c>
      <c r="M35" s="23" t="s">
        <v>112</v>
      </c>
      <c r="N35" s="22" t="s">
        <v>111</v>
      </c>
      <c r="O35" s="1"/>
    </row>
    <row r="36" spans="1:15" ht="20.100000000000001" customHeight="1" x14ac:dyDescent="0.3">
      <c r="A36" s="16">
        <v>35</v>
      </c>
      <c r="B36" s="30" t="s">
        <v>51</v>
      </c>
      <c r="C36" s="30" t="s">
        <v>16</v>
      </c>
      <c r="D36" s="45" t="s">
        <v>5</v>
      </c>
      <c r="E36" s="46" t="s">
        <v>84</v>
      </c>
      <c r="F36" s="23" t="s">
        <v>92</v>
      </c>
      <c r="G36" s="23" t="s">
        <v>94</v>
      </c>
      <c r="H36" s="31">
        <v>10999</v>
      </c>
      <c r="I36" s="41" t="s">
        <v>11</v>
      </c>
      <c r="J36" s="32">
        <v>45548</v>
      </c>
      <c r="K36" s="32">
        <v>45565</v>
      </c>
      <c r="L36" s="32">
        <v>45581</v>
      </c>
      <c r="M36" s="30" t="s">
        <v>17</v>
      </c>
      <c r="N36" s="22" t="s">
        <v>111</v>
      </c>
      <c r="O36" s="1"/>
    </row>
    <row r="37" spans="1:15" ht="20.100000000000001" customHeight="1" x14ac:dyDescent="0.3">
      <c r="A37" s="16">
        <v>36</v>
      </c>
      <c r="B37" s="30" t="s">
        <v>52</v>
      </c>
      <c r="C37" s="30" t="s">
        <v>82</v>
      </c>
      <c r="D37" s="45" t="s">
        <v>5</v>
      </c>
      <c r="E37" s="46" t="s">
        <v>84</v>
      </c>
      <c r="F37" s="23" t="s">
        <v>92</v>
      </c>
      <c r="G37" s="30" t="s">
        <v>96</v>
      </c>
      <c r="H37" s="31">
        <v>13099</v>
      </c>
      <c r="I37" s="41" t="s">
        <v>11</v>
      </c>
      <c r="J37" s="32">
        <v>45548</v>
      </c>
      <c r="K37" s="32">
        <v>45565</v>
      </c>
      <c r="L37" s="32">
        <v>45568</v>
      </c>
      <c r="M37" s="30" t="s">
        <v>17</v>
      </c>
      <c r="N37" s="22" t="s">
        <v>111</v>
      </c>
      <c r="O37" s="1"/>
    </row>
    <row r="38" spans="1:15" ht="20.100000000000001" customHeight="1" x14ac:dyDescent="0.3">
      <c r="A38" s="16">
        <v>37</v>
      </c>
      <c r="B38" s="30" t="s">
        <v>54</v>
      </c>
      <c r="C38" s="23" t="s">
        <v>191</v>
      </c>
      <c r="D38" s="45" t="s">
        <v>5</v>
      </c>
      <c r="E38" s="46" t="s">
        <v>84</v>
      </c>
      <c r="F38" s="23" t="s">
        <v>92</v>
      </c>
      <c r="G38" s="23" t="s">
        <v>99</v>
      </c>
      <c r="H38" s="31">
        <v>13849</v>
      </c>
      <c r="I38" s="41" t="s">
        <v>11</v>
      </c>
      <c r="J38" s="32">
        <v>45548</v>
      </c>
      <c r="K38" s="32">
        <v>45565</v>
      </c>
      <c r="L38" s="27">
        <v>45585</v>
      </c>
      <c r="M38" s="23" t="s">
        <v>112</v>
      </c>
      <c r="N38" s="22" t="s">
        <v>111</v>
      </c>
      <c r="O38" s="1"/>
    </row>
    <row r="39" spans="1:15" ht="20.100000000000001" customHeight="1" x14ac:dyDescent="0.3">
      <c r="A39" s="16">
        <v>38</v>
      </c>
      <c r="B39" s="30" t="s">
        <v>56</v>
      </c>
      <c r="C39" s="30" t="s">
        <v>30</v>
      </c>
      <c r="D39" s="46" t="s">
        <v>5</v>
      </c>
      <c r="E39" s="46" t="s">
        <v>90</v>
      </c>
      <c r="F39" s="30" t="s">
        <v>117</v>
      </c>
      <c r="G39" s="30" t="s">
        <v>95</v>
      </c>
      <c r="H39" s="31">
        <v>21999</v>
      </c>
      <c r="I39" s="41" t="s">
        <v>11</v>
      </c>
      <c r="J39" s="32">
        <v>45548</v>
      </c>
      <c r="K39" s="32">
        <v>45565</v>
      </c>
      <c r="L39" s="27">
        <v>45567</v>
      </c>
      <c r="M39" s="23" t="s">
        <v>112</v>
      </c>
      <c r="N39" s="22" t="s">
        <v>111</v>
      </c>
      <c r="O39" s="1"/>
    </row>
    <row r="40" spans="1:15" ht="20.100000000000001" customHeight="1" x14ac:dyDescent="0.3">
      <c r="A40" s="16">
        <v>39</v>
      </c>
      <c r="B40" s="30" t="s">
        <v>59</v>
      </c>
      <c r="C40" s="30" t="s">
        <v>192</v>
      </c>
      <c r="D40" s="45" t="s">
        <v>5</v>
      </c>
      <c r="E40" s="46" t="s">
        <v>84</v>
      </c>
      <c r="F40" s="23" t="s">
        <v>92</v>
      </c>
      <c r="G40" s="23" t="s">
        <v>94</v>
      </c>
      <c r="H40" s="31">
        <v>10999</v>
      </c>
      <c r="I40" s="41" t="s">
        <v>11</v>
      </c>
      <c r="J40" s="32">
        <v>45548</v>
      </c>
      <c r="K40" s="32">
        <v>45565</v>
      </c>
      <c r="L40" s="32">
        <v>45580</v>
      </c>
      <c r="M40" s="23" t="s">
        <v>112</v>
      </c>
      <c r="N40" s="22" t="s">
        <v>111</v>
      </c>
      <c r="O40" s="1"/>
    </row>
    <row r="41" spans="1:15" ht="20.100000000000001" customHeight="1" x14ac:dyDescent="0.3">
      <c r="A41" s="16">
        <v>40</v>
      </c>
      <c r="B41" s="30" t="s">
        <v>61</v>
      </c>
      <c r="C41" s="30" t="s">
        <v>58</v>
      </c>
      <c r="D41" s="45" t="s">
        <v>5</v>
      </c>
      <c r="E41" s="46" t="s">
        <v>84</v>
      </c>
      <c r="F41" s="23" t="s">
        <v>97</v>
      </c>
      <c r="G41" s="30" t="s">
        <v>95</v>
      </c>
      <c r="H41" s="31">
        <v>17249</v>
      </c>
      <c r="I41" s="41" t="s">
        <v>11</v>
      </c>
      <c r="J41" s="32">
        <v>45548</v>
      </c>
      <c r="K41" s="32">
        <v>45565</v>
      </c>
      <c r="L41" s="32">
        <v>45569</v>
      </c>
      <c r="M41" s="23" t="s">
        <v>112</v>
      </c>
      <c r="N41" s="22" t="s">
        <v>111</v>
      </c>
      <c r="O41" s="1"/>
    </row>
    <row r="42" spans="1:15" ht="20.100000000000001" customHeight="1" x14ac:dyDescent="0.3">
      <c r="A42" s="16">
        <v>41</v>
      </c>
      <c r="B42" s="23" t="s">
        <v>79</v>
      </c>
      <c r="C42" s="23" t="s">
        <v>193</v>
      </c>
      <c r="D42" s="45" t="s">
        <v>5</v>
      </c>
      <c r="E42" s="45" t="s">
        <v>160</v>
      </c>
      <c r="F42" s="23" t="s">
        <v>105</v>
      </c>
      <c r="G42" s="23" t="s">
        <v>95</v>
      </c>
      <c r="H42" s="24">
        <v>8349</v>
      </c>
      <c r="I42" s="25" t="s">
        <v>11</v>
      </c>
      <c r="J42" s="27">
        <v>45549</v>
      </c>
      <c r="K42" s="27">
        <v>45581</v>
      </c>
      <c r="L42" s="27">
        <v>45586</v>
      </c>
      <c r="M42" s="23" t="s">
        <v>112</v>
      </c>
      <c r="N42" s="22" t="s">
        <v>111</v>
      </c>
      <c r="O42" s="1"/>
    </row>
    <row r="43" spans="1:15" ht="20.100000000000001" customHeight="1" x14ac:dyDescent="0.3">
      <c r="A43" s="16">
        <v>42</v>
      </c>
      <c r="B43" s="23" t="s">
        <v>67</v>
      </c>
      <c r="C43" s="23" t="s">
        <v>38</v>
      </c>
      <c r="D43" s="45" t="s">
        <v>5</v>
      </c>
      <c r="E43" s="45" t="s">
        <v>160</v>
      </c>
      <c r="F43" s="30" t="s">
        <v>106</v>
      </c>
      <c r="G43" s="30" t="s">
        <v>95</v>
      </c>
      <c r="H43" s="31">
        <v>7849</v>
      </c>
      <c r="I43" s="41" t="s">
        <v>11</v>
      </c>
      <c r="J43" s="32">
        <v>45549</v>
      </c>
      <c r="K43" s="32">
        <v>45594</v>
      </c>
      <c r="L43" s="32">
        <v>45595</v>
      </c>
      <c r="M43" s="23" t="s">
        <v>112</v>
      </c>
      <c r="N43" s="22" t="s">
        <v>111</v>
      </c>
      <c r="O43" s="1"/>
    </row>
    <row r="44" spans="1:15" ht="20.100000000000001" customHeight="1" x14ac:dyDescent="0.3">
      <c r="A44" s="16">
        <v>43</v>
      </c>
      <c r="B44" s="23" t="s">
        <v>68</v>
      </c>
      <c r="C44" s="30" t="s">
        <v>130</v>
      </c>
      <c r="D44" s="45" t="s">
        <v>5</v>
      </c>
      <c r="E44" s="46" t="s">
        <v>84</v>
      </c>
      <c r="F44" s="30" t="s">
        <v>85</v>
      </c>
      <c r="G44" s="23" t="s">
        <v>95</v>
      </c>
      <c r="H44" s="31">
        <v>9399</v>
      </c>
      <c r="I44" s="41" t="s">
        <v>64</v>
      </c>
      <c r="J44" s="32">
        <v>45549</v>
      </c>
      <c r="K44" s="32">
        <v>45594</v>
      </c>
      <c r="L44" s="32">
        <v>45580</v>
      </c>
      <c r="M44" s="23" t="s">
        <v>112</v>
      </c>
      <c r="N44" s="22" t="s">
        <v>111</v>
      </c>
      <c r="O44" s="1"/>
    </row>
    <row r="45" spans="1:15" ht="20.100000000000001" customHeight="1" x14ac:dyDescent="0.3">
      <c r="A45" s="16">
        <v>44</v>
      </c>
      <c r="B45" s="23" t="s">
        <v>69</v>
      </c>
      <c r="C45" s="23" t="s">
        <v>130</v>
      </c>
      <c r="D45" s="45" t="s">
        <v>5</v>
      </c>
      <c r="E45" s="46" t="s">
        <v>84</v>
      </c>
      <c r="F45" s="23" t="s">
        <v>86</v>
      </c>
      <c r="G45" s="30" t="s">
        <v>95</v>
      </c>
      <c r="H45" s="31">
        <v>11817</v>
      </c>
      <c r="I45" s="41" t="s">
        <v>64</v>
      </c>
      <c r="J45" s="32">
        <v>45549</v>
      </c>
      <c r="K45" s="32">
        <v>45594</v>
      </c>
      <c r="L45" s="27">
        <v>45580</v>
      </c>
      <c r="M45" s="23" t="s">
        <v>112</v>
      </c>
      <c r="N45" s="22" t="s">
        <v>111</v>
      </c>
      <c r="O45" s="1"/>
    </row>
    <row r="46" spans="1:15" ht="20.100000000000001" customHeight="1" x14ac:dyDescent="0.3">
      <c r="A46" s="16">
        <v>45</v>
      </c>
      <c r="B46" s="23" t="s">
        <v>70</v>
      </c>
      <c r="C46" s="23" t="s">
        <v>50</v>
      </c>
      <c r="D46" s="45" t="s">
        <v>5</v>
      </c>
      <c r="E46" s="45" t="s">
        <v>160</v>
      </c>
      <c r="F46" s="23" t="s">
        <v>107</v>
      </c>
      <c r="G46" s="30" t="s">
        <v>95</v>
      </c>
      <c r="H46" s="31">
        <v>8349</v>
      </c>
      <c r="I46" s="41" t="s">
        <v>64</v>
      </c>
      <c r="J46" s="32">
        <v>45549</v>
      </c>
      <c r="K46" s="32">
        <v>45594</v>
      </c>
      <c r="L46" s="27">
        <v>45584</v>
      </c>
      <c r="M46" s="23" t="s">
        <v>112</v>
      </c>
      <c r="N46" s="22" t="s">
        <v>111</v>
      </c>
      <c r="O46" s="1"/>
    </row>
    <row r="47" spans="1:15" ht="20.100000000000001" customHeight="1" x14ac:dyDescent="0.3">
      <c r="A47" s="16">
        <v>46</v>
      </c>
      <c r="B47" s="23" t="s">
        <v>72</v>
      </c>
      <c r="C47" s="23" t="s">
        <v>73</v>
      </c>
      <c r="D47" s="45" t="s">
        <v>5</v>
      </c>
      <c r="E47" s="46" t="s">
        <v>84</v>
      </c>
      <c r="F47" s="23" t="s">
        <v>86</v>
      </c>
      <c r="G47" s="30" t="s">
        <v>94</v>
      </c>
      <c r="H47" s="24">
        <v>17886</v>
      </c>
      <c r="I47" s="25" t="s">
        <v>64</v>
      </c>
      <c r="J47" s="27">
        <v>45549</v>
      </c>
      <c r="K47" s="32">
        <v>45594</v>
      </c>
      <c r="L47" s="27">
        <v>45598</v>
      </c>
      <c r="M47" s="23" t="s">
        <v>60</v>
      </c>
      <c r="N47" s="28" t="s">
        <v>134</v>
      </c>
      <c r="O47" s="1"/>
    </row>
    <row r="48" spans="1:15" ht="20.100000000000001" customHeight="1" x14ac:dyDescent="0.3">
      <c r="A48" s="16">
        <v>47</v>
      </c>
      <c r="B48" s="23" t="s">
        <v>74</v>
      </c>
      <c r="C48" s="23" t="s">
        <v>30</v>
      </c>
      <c r="D48" s="45" t="s">
        <v>5</v>
      </c>
      <c r="E48" s="46" t="s">
        <v>84</v>
      </c>
      <c r="F48" s="23" t="s">
        <v>86</v>
      </c>
      <c r="G48" s="30" t="s">
        <v>94</v>
      </c>
      <c r="H48" s="31">
        <v>10987</v>
      </c>
      <c r="I48" s="25" t="s">
        <v>11</v>
      </c>
      <c r="J48" s="27">
        <v>45549</v>
      </c>
      <c r="K48" s="32">
        <v>45594</v>
      </c>
      <c r="L48" s="27">
        <v>45578</v>
      </c>
      <c r="M48" s="23" t="s">
        <v>112</v>
      </c>
      <c r="N48" s="22" t="s">
        <v>111</v>
      </c>
      <c r="O48" s="1"/>
    </row>
    <row r="49" spans="1:15" ht="20.100000000000001" customHeight="1" x14ac:dyDescent="0.3">
      <c r="A49" s="16">
        <v>48</v>
      </c>
      <c r="B49" s="23" t="s">
        <v>76</v>
      </c>
      <c r="C49" s="23" t="s">
        <v>77</v>
      </c>
      <c r="D49" s="45" t="s">
        <v>5</v>
      </c>
      <c r="E49" s="45" t="s">
        <v>160</v>
      </c>
      <c r="F49" s="23" t="s">
        <v>105</v>
      </c>
      <c r="G49" s="23" t="s">
        <v>95</v>
      </c>
      <c r="H49" s="24">
        <v>10319</v>
      </c>
      <c r="I49" s="25" t="s">
        <v>11</v>
      </c>
      <c r="J49" s="27">
        <v>45549</v>
      </c>
      <c r="K49" s="27">
        <v>45594</v>
      </c>
      <c r="L49" s="27">
        <v>45584</v>
      </c>
      <c r="M49" s="23" t="s">
        <v>112</v>
      </c>
      <c r="N49" s="22" t="s">
        <v>111</v>
      </c>
      <c r="O49" s="1"/>
    </row>
    <row r="50" spans="1:15" ht="20.100000000000001" customHeight="1" x14ac:dyDescent="0.3">
      <c r="A50" s="16">
        <v>49</v>
      </c>
      <c r="B50" s="23" t="s">
        <v>62</v>
      </c>
      <c r="C50" s="23" t="s">
        <v>63</v>
      </c>
      <c r="D50" s="45" t="s">
        <v>5</v>
      </c>
      <c r="E50" s="46" t="s">
        <v>84</v>
      </c>
      <c r="F50" s="23" t="s">
        <v>92</v>
      </c>
      <c r="G50" s="23" t="s">
        <v>98</v>
      </c>
      <c r="H50" s="31">
        <v>12999</v>
      </c>
      <c r="I50" s="41" t="s">
        <v>64</v>
      </c>
      <c r="J50" s="32">
        <v>45549</v>
      </c>
      <c r="K50" s="32">
        <v>45616</v>
      </c>
      <c r="L50" s="32">
        <v>45582</v>
      </c>
      <c r="M50" s="23" t="s">
        <v>17</v>
      </c>
      <c r="N50" s="22" t="s">
        <v>111</v>
      </c>
      <c r="O50" s="1"/>
    </row>
    <row r="51" spans="1:15" ht="20.100000000000001" customHeight="1" x14ac:dyDescent="0.3">
      <c r="A51" s="16">
        <v>50</v>
      </c>
      <c r="B51" s="23" t="s">
        <v>65</v>
      </c>
      <c r="C51" s="23" t="s">
        <v>66</v>
      </c>
      <c r="D51" s="45" t="s">
        <v>5</v>
      </c>
      <c r="E51" s="45" t="s">
        <v>90</v>
      </c>
      <c r="F51" s="23" t="s">
        <v>117</v>
      </c>
      <c r="G51" s="23" t="s">
        <v>95</v>
      </c>
      <c r="H51" s="24">
        <v>21999</v>
      </c>
      <c r="I51" s="41" t="s">
        <v>11</v>
      </c>
      <c r="J51" s="32">
        <v>45549</v>
      </c>
      <c r="K51" s="27">
        <v>45616</v>
      </c>
      <c r="L51" s="27">
        <v>45618</v>
      </c>
      <c r="M51" s="23" t="s">
        <v>60</v>
      </c>
      <c r="N51" s="28" t="s">
        <v>134</v>
      </c>
      <c r="O51" s="1"/>
    </row>
    <row r="52" spans="1:15" ht="20.100000000000001" customHeight="1" x14ac:dyDescent="0.3">
      <c r="A52" s="16">
        <v>51</v>
      </c>
      <c r="B52" s="23" t="s">
        <v>71</v>
      </c>
      <c r="C52" s="23" t="s">
        <v>50</v>
      </c>
      <c r="D52" s="45" t="s">
        <v>5</v>
      </c>
      <c r="E52" s="46" t="s">
        <v>84</v>
      </c>
      <c r="F52" s="23" t="s">
        <v>92</v>
      </c>
      <c r="G52" s="30" t="s">
        <v>98</v>
      </c>
      <c r="H52" s="31">
        <v>12399</v>
      </c>
      <c r="I52" s="25" t="s">
        <v>11</v>
      </c>
      <c r="J52" s="32">
        <v>45549</v>
      </c>
      <c r="K52" s="32">
        <v>45616</v>
      </c>
      <c r="L52" s="27">
        <v>45566</v>
      </c>
      <c r="M52" s="30" t="s">
        <v>17</v>
      </c>
      <c r="N52" s="22" t="s">
        <v>111</v>
      </c>
      <c r="O52" s="1"/>
    </row>
    <row r="53" spans="1:15" ht="20.100000000000001" customHeight="1" x14ac:dyDescent="0.3">
      <c r="A53" s="16">
        <v>52</v>
      </c>
      <c r="B53" s="23" t="s">
        <v>75</v>
      </c>
      <c r="C53" s="23" t="s">
        <v>30</v>
      </c>
      <c r="D53" s="45" t="s">
        <v>5</v>
      </c>
      <c r="E53" s="46" t="s">
        <v>90</v>
      </c>
      <c r="F53" s="30" t="s">
        <v>117</v>
      </c>
      <c r="G53" s="23" t="s">
        <v>95</v>
      </c>
      <c r="H53" s="31">
        <v>21999</v>
      </c>
      <c r="I53" s="25" t="s">
        <v>11</v>
      </c>
      <c r="J53" s="27">
        <v>45549</v>
      </c>
      <c r="K53" s="27">
        <v>45616</v>
      </c>
      <c r="L53" s="27">
        <v>45574</v>
      </c>
      <c r="M53" s="23" t="s">
        <v>112</v>
      </c>
      <c r="N53" s="22" t="s">
        <v>111</v>
      </c>
      <c r="O53" s="1"/>
    </row>
    <row r="54" spans="1:15" ht="20.100000000000001" customHeight="1" x14ac:dyDescent="0.3">
      <c r="A54" s="16">
        <v>53</v>
      </c>
      <c r="B54" s="23" t="s">
        <v>78</v>
      </c>
      <c r="C54" s="23" t="s">
        <v>38</v>
      </c>
      <c r="D54" s="45" t="s">
        <v>5</v>
      </c>
      <c r="E54" s="45" t="s">
        <v>84</v>
      </c>
      <c r="F54" s="23" t="s">
        <v>92</v>
      </c>
      <c r="G54" s="23" t="s">
        <v>94</v>
      </c>
      <c r="H54" s="24">
        <v>10999</v>
      </c>
      <c r="I54" s="25" t="s">
        <v>64</v>
      </c>
      <c r="J54" s="27">
        <v>45549</v>
      </c>
      <c r="K54" s="27">
        <v>45616</v>
      </c>
      <c r="L54" s="27">
        <v>45581</v>
      </c>
      <c r="M54" s="23" t="s">
        <v>112</v>
      </c>
      <c r="N54" s="22" t="s">
        <v>111</v>
      </c>
      <c r="O54" s="1"/>
    </row>
    <row r="55" spans="1:15" ht="20.100000000000001" customHeight="1" x14ac:dyDescent="0.25">
      <c r="A55" s="16">
        <v>54</v>
      </c>
      <c r="B55" s="34" t="s">
        <v>102</v>
      </c>
      <c r="C55" s="30" t="s">
        <v>58</v>
      </c>
      <c r="D55" s="45" t="s">
        <v>5</v>
      </c>
      <c r="E55" s="45" t="s">
        <v>84</v>
      </c>
      <c r="F55" s="23" t="s">
        <v>92</v>
      </c>
      <c r="G55" s="23" t="s">
        <v>94</v>
      </c>
      <c r="H55" s="24">
        <v>10999</v>
      </c>
      <c r="I55" s="25" t="s">
        <v>64</v>
      </c>
      <c r="J55" s="27">
        <v>45550</v>
      </c>
      <c r="K55" s="27">
        <v>45616</v>
      </c>
      <c r="L55" s="27">
        <v>45581</v>
      </c>
      <c r="M55" s="23" t="s">
        <v>112</v>
      </c>
      <c r="N55" s="22" t="s">
        <v>111</v>
      </c>
      <c r="O55" s="1"/>
    </row>
    <row r="56" spans="1:15" ht="20.100000000000001" customHeight="1" x14ac:dyDescent="0.25">
      <c r="A56" s="16">
        <v>55</v>
      </c>
      <c r="B56" s="34" t="s">
        <v>103</v>
      </c>
      <c r="C56" s="34" t="s">
        <v>104</v>
      </c>
      <c r="D56" s="45" t="s">
        <v>5</v>
      </c>
      <c r="E56" s="45" t="s">
        <v>90</v>
      </c>
      <c r="F56" s="23" t="s">
        <v>117</v>
      </c>
      <c r="G56" s="23" t="s">
        <v>95</v>
      </c>
      <c r="H56" s="24">
        <v>21999</v>
      </c>
      <c r="I56" s="25" t="s">
        <v>64</v>
      </c>
      <c r="J56" s="27">
        <v>45550</v>
      </c>
      <c r="K56" s="27">
        <v>45616</v>
      </c>
      <c r="L56" s="27">
        <v>45584</v>
      </c>
      <c r="M56" s="23" t="s">
        <v>112</v>
      </c>
      <c r="N56" s="22" t="s">
        <v>111</v>
      </c>
      <c r="O56" s="1"/>
    </row>
    <row r="57" spans="1:15" ht="20.100000000000001" customHeight="1" x14ac:dyDescent="0.3">
      <c r="A57" s="16">
        <v>56</v>
      </c>
      <c r="B57" s="17" t="s">
        <v>110</v>
      </c>
      <c r="C57" s="17" t="s">
        <v>82</v>
      </c>
      <c r="D57" s="45" t="s">
        <v>5</v>
      </c>
      <c r="E57" s="45" t="s">
        <v>160</v>
      </c>
      <c r="F57" s="23" t="s">
        <v>105</v>
      </c>
      <c r="G57" s="17" t="s">
        <v>95</v>
      </c>
      <c r="H57" s="18">
        <v>6306</v>
      </c>
      <c r="I57" s="18">
        <v>6306</v>
      </c>
      <c r="J57" s="27">
        <v>45551</v>
      </c>
      <c r="K57" s="27">
        <v>45595</v>
      </c>
      <c r="L57" s="21">
        <v>45610</v>
      </c>
      <c r="M57" s="23" t="s">
        <v>17</v>
      </c>
      <c r="N57" s="22" t="s">
        <v>111</v>
      </c>
      <c r="O57" s="1"/>
    </row>
    <row r="58" spans="1:15" ht="20.100000000000001" customHeight="1" x14ac:dyDescent="0.3">
      <c r="A58" s="16">
        <v>57</v>
      </c>
      <c r="B58" s="23" t="s">
        <v>47</v>
      </c>
      <c r="C58" s="23" t="s">
        <v>113</v>
      </c>
      <c r="D58" s="45" t="s">
        <v>34</v>
      </c>
      <c r="E58" s="45" t="s">
        <v>84</v>
      </c>
      <c r="F58" s="23" t="s">
        <v>92</v>
      </c>
      <c r="G58" s="23" t="s">
        <v>94</v>
      </c>
      <c r="H58" s="24">
        <v>5074</v>
      </c>
      <c r="I58" s="25" t="s">
        <v>49</v>
      </c>
      <c r="J58" s="27">
        <v>45556</v>
      </c>
      <c r="K58" s="27">
        <v>45570</v>
      </c>
      <c r="L58" s="27">
        <v>45577</v>
      </c>
      <c r="M58" s="23" t="s">
        <v>112</v>
      </c>
      <c r="N58" s="22" t="s">
        <v>111</v>
      </c>
      <c r="O58" s="1"/>
    </row>
    <row r="59" spans="1:15" ht="20.100000000000001" customHeight="1" x14ac:dyDescent="0.3">
      <c r="A59" s="16">
        <v>58</v>
      </c>
      <c r="B59" s="23" t="s">
        <v>25</v>
      </c>
      <c r="C59" s="23" t="s">
        <v>26</v>
      </c>
      <c r="D59" s="45" t="s">
        <v>27</v>
      </c>
      <c r="E59" s="45" t="s">
        <v>84</v>
      </c>
      <c r="F59" s="23" t="s">
        <v>92</v>
      </c>
      <c r="G59" s="23" t="s">
        <v>114</v>
      </c>
      <c r="H59" s="24">
        <v>6250</v>
      </c>
      <c r="I59" s="25" t="s">
        <v>49</v>
      </c>
      <c r="J59" s="27">
        <v>45558</v>
      </c>
      <c r="K59" s="27">
        <v>45573</v>
      </c>
      <c r="L59" s="27">
        <v>45582</v>
      </c>
      <c r="M59" s="23" t="s">
        <v>112</v>
      </c>
      <c r="N59" s="22" t="s">
        <v>111</v>
      </c>
      <c r="O59" s="1"/>
    </row>
    <row r="60" spans="1:15" ht="20.100000000000001" customHeight="1" x14ac:dyDescent="0.3">
      <c r="A60" s="16">
        <v>59</v>
      </c>
      <c r="B60" s="23" t="s">
        <v>115</v>
      </c>
      <c r="C60" s="23" t="s">
        <v>26</v>
      </c>
      <c r="D60" s="45" t="s">
        <v>5</v>
      </c>
      <c r="E60" s="45" t="s">
        <v>84</v>
      </c>
      <c r="F60" s="23" t="s">
        <v>86</v>
      </c>
      <c r="G60" s="23" t="s">
        <v>94</v>
      </c>
      <c r="H60" s="24">
        <v>8943</v>
      </c>
      <c r="I60" s="24">
        <v>9033</v>
      </c>
      <c r="J60" s="27">
        <v>45561</v>
      </c>
      <c r="K60" s="27">
        <v>45606</v>
      </c>
      <c r="L60" s="27">
        <v>45575</v>
      </c>
      <c r="M60" s="23" t="s">
        <v>112</v>
      </c>
      <c r="N60" s="22" t="s">
        <v>111</v>
      </c>
      <c r="O60" s="1"/>
    </row>
    <row r="61" spans="1:15" ht="20.100000000000001" customHeight="1" x14ac:dyDescent="0.3">
      <c r="A61" s="16">
        <v>60</v>
      </c>
      <c r="B61" s="23" t="s">
        <v>116</v>
      </c>
      <c r="C61" s="23" t="s">
        <v>130</v>
      </c>
      <c r="D61" s="45" t="s">
        <v>5</v>
      </c>
      <c r="E61" s="45" t="s">
        <v>160</v>
      </c>
      <c r="F61" s="23" t="s">
        <v>107</v>
      </c>
      <c r="G61" s="23" t="s">
        <v>95</v>
      </c>
      <c r="H61" s="24">
        <v>8433</v>
      </c>
      <c r="I61" s="24">
        <v>8433</v>
      </c>
      <c r="J61" s="27">
        <v>45561</v>
      </c>
      <c r="K61" s="27">
        <v>45606</v>
      </c>
      <c r="L61" s="27">
        <v>45611</v>
      </c>
      <c r="M61" s="23" t="s">
        <v>60</v>
      </c>
      <c r="N61" s="28" t="s">
        <v>134</v>
      </c>
      <c r="O61" s="1"/>
    </row>
    <row r="62" spans="1:15" ht="20.100000000000001" customHeight="1" x14ac:dyDescent="0.3">
      <c r="A62" s="16">
        <v>61</v>
      </c>
      <c r="B62" s="23" t="s">
        <v>19</v>
      </c>
      <c r="C62" s="23" t="s">
        <v>33</v>
      </c>
      <c r="D62" s="45" t="s">
        <v>31</v>
      </c>
      <c r="E62" s="45" t="s">
        <v>90</v>
      </c>
      <c r="F62" s="23" t="s">
        <v>117</v>
      </c>
      <c r="G62" s="23" t="s">
        <v>95</v>
      </c>
      <c r="H62" s="24">
        <v>14950</v>
      </c>
      <c r="I62" s="25" t="s">
        <v>11</v>
      </c>
      <c r="J62" s="27">
        <v>45561</v>
      </c>
      <c r="K62" s="27">
        <v>45579</v>
      </c>
      <c r="L62" s="27">
        <v>45578</v>
      </c>
      <c r="M62" s="23" t="s">
        <v>112</v>
      </c>
      <c r="N62" s="22" t="s">
        <v>111</v>
      </c>
      <c r="O62" s="1"/>
    </row>
    <row r="63" spans="1:15" ht="20.100000000000001" customHeight="1" x14ac:dyDescent="0.3">
      <c r="A63" s="16">
        <v>62</v>
      </c>
      <c r="B63" s="23" t="s">
        <v>19</v>
      </c>
      <c r="C63" s="23" t="s">
        <v>33</v>
      </c>
      <c r="D63" s="45" t="s">
        <v>31</v>
      </c>
      <c r="E63" s="45" t="s">
        <v>84</v>
      </c>
      <c r="F63" s="23" t="s">
        <v>92</v>
      </c>
      <c r="G63" s="23" t="s">
        <v>118</v>
      </c>
      <c r="H63" s="24">
        <v>9208</v>
      </c>
      <c r="I63" s="24">
        <v>9608</v>
      </c>
      <c r="J63" s="27">
        <v>45561</v>
      </c>
      <c r="K63" s="27">
        <v>45579</v>
      </c>
      <c r="L63" s="27">
        <v>45585</v>
      </c>
      <c r="M63" s="23" t="s">
        <v>60</v>
      </c>
      <c r="N63" s="28" t="s">
        <v>134</v>
      </c>
      <c r="O63" s="1"/>
    </row>
    <row r="64" spans="1:15" ht="20.100000000000001" customHeight="1" x14ac:dyDescent="0.3">
      <c r="A64" s="16">
        <v>63</v>
      </c>
      <c r="B64" s="23" t="s">
        <v>19</v>
      </c>
      <c r="C64" s="23" t="s">
        <v>128</v>
      </c>
      <c r="D64" s="45" t="s">
        <v>31</v>
      </c>
      <c r="E64" s="45" t="s">
        <v>84</v>
      </c>
      <c r="F64" s="23" t="s">
        <v>86</v>
      </c>
      <c r="G64" s="23" t="s">
        <v>94</v>
      </c>
      <c r="H64" s="24">
        <v>7433</v>
      </c>
      <c r="I64" s="25" t="s">
        <v>11</v>
      </c>
      <c r="J64" s="27">
        <v>45564</v>
      </c>
      <c r="K64" s="27">
        <v>45585</v>
      </c>
      <c r="L64" s="27">
        <v>45586</v>
      </c>
      <c r="M64" s="23" t="s">
        <v>112</v>
      </c>
      <c r="N64" s="22" t="s">
        <v>111</v>
      </c>
      <c r="O64" s="1"/>
    </row>
    <row r="65" spans="1:15" ht="20.100000000000001" customHeight="1" x14ac:dyDescent="0.3">
      <c r="A65" s="16">
        <v>64</v>
      </c>
      <c r="B65" s="23" t="s">
        <v>47</v>
      </c>
      <c r="C65" s="23" t="s">
        <v>113</v>
      </c>
      <c r="D65" s="45" t="s">
        <v>34</v>
      </c>
      <c r="E65" s="45" t="s">
        <v>84</v>
      </c>
      <c r="F65" s="23" t="s">
        <v>86</v>
      </c>
      <c r="G65" s="23" t="s">
        <v>94</v>
      </c>
      <c r="H65" s="24">
        <v>4020</v>
      </c>
      <c r="I65" s="25" t="s">
        <v>49</v>
      </c>
      <c r="J65" s="27">
        <v>45564</v>
      </c>
      <c r="K65" s="27">
        <v>45577</v>
      </c>
      <c r="L65" s="27">
        <v>45577</v>
      </c>
      <c r="M65" s="23" t="s">
        <v>112</v>
      </c>
      <c r="N65" s="22" t="s">
        <v>111</v>
      </c>
      <c r="O65" s="1"/>
    </row>
    <row r="66" spans="1:15" ht="20.100000000000001" customHeight="1" x14ac:dyDescent="0.3">
      <c r="A66" s="16">
        <v>65</v>
      </c>
      <c r="B66" s="23" t="s">
        <v>120</v>
      </c>
      <c r="C66" s="23" t="s">
        <v>121</v>
      </c>
      <c r="D66" s="45" t="s">
        <v>122</v>
      </c>
      <c r="E66" s="45" t="s">
        <v>84</v>
      </c>
      <c r="F66" s="23" t="s">
        <v>92</v>
      </c>
      <c r="G66" s="23" t="s">
        <v>123</v>
      </c>
      <c r="H66" s="24">
        <v>8544.9054400000005</v>
      </c>
      <c r="I66" s="24">
        <v>8544.9054400000005</v>
      </c>
      <c r="J66" s="27">
        <v>45566</v>
      </c>
      <c r="K66" s="27">
        <v>45574</v>
      </c>
      <c r="L66" s="27">
        <v>45574</v>
      </c>
      <c r="M66" s="23" t="s">
        <v>129</v>
      </c>
      <c r="N66" s="22" t="s">
        <v>111</v>
      </c>
      <c r="O66" s="1"/>
    </row>
    <row r="67" spans="1:15" ht="20.100000000000001" customHeight="1" x14ac:dyDescent="0.3">
      <c r="A67" s="16">
        <v>66</v>
      </c>
      <c r="B67" s="23" t="s">
        <v>120</v>
      </c>
      <c r="C67" s="23" t="s">
        <v>121</v>
      </c>
      <c r="D67" s="45" t="s">
        <v>122</v>
      </c>
      <c r="E67" s="45" t="s">
        <v>84</v>
      </c>
      <c r="F67" s="23" t="s">
        <v>85</v>
      </c>
      <c r="G67" s="23" t="s">
        <v>95</v>
      </c>
      <c r="H67" s="24">
        <v>4600</v>
      </c>
      <c r="I67" s="24">
        <v>4600</v>
      </c>
      <c r="J67" s="27">
        <v>45566</v>
      </c>
      <c r="K67" s="27">
        <v>45574</v>
      </c>
      <c r="L67" s="27">
        <v>45574</v>
      </c>
      <c r="M67" s="23" t="s">
        <v>129</v>
      </c>
      <c r="N67" s="22" t="s">
        <v>111</v>
      </c>
      <c r="O67" s="1"/>
    </row>
    <row r="68" spans="1:15" ht="20.100000000000001" customHeight="1" x14ac:dyDescent="0.3">
      <c r="A68" s="16">
        <v>67</v>
      </c>
      <c r="B68" s="23" t="s">
        <v>120</v>
      </c>
      <c r="C68" s="23" t="s">
        <v>121</v>
      </c>
      <c r="D68" s="45" t="s">
        <v>122</v>
      </c>
      <c r="E68" s="45" t="s">
        <v>90</v>
      </c>
      <c r="F68" s="23" t="s">
        <v>194</v>
      </c>
      <c r="G68" s="23" t="s">
        <v>95</v>
      </c>
      <c r="H68" s="24">
        <v>10000</v>
      </c>
      <c r="I68" s="24">
        <v>10000</v>
      </c>
      <c r="J68" s="27">
        <v>45566</v>
      </c>
      <c r="K68" s="27">
        <v>45574</v>
      </c>
      <c r="L68" s="27">
        <v>45574</v>
      </c>
      <c r="M68" s="23" t="s">
        <v>129</v>
      </c>
      <c r="N68" s="22" t="s">
        <v>111</v>
      </c>
      <c r="O68" s="1"/>
    </row>
    <row r="69" spans="1:15" ht="20.100000000000001" customHeight="1" x14ac:dyDescent="0.3">
      <c r="A69" s="16">
        <v>68</v>
      </c>
      <c r="B69" s="23" t="s">
        <v>120</v>
      </c>
      <c r="C69" s="23" t="s">
        <v>121</v>
      </c>
      <c r="D69" s="45" t="s">
        <v>122</v>
      </c>
      <c r="E69" s="45" t="s">
        <v>124</v>
      </c>
      <c r="F69" s="23" t="s">
        <v>105</v>
      </c>
      <c r="G69" s="23" t="s">
        <v>95</v>
      </c>
      <c r="H69" s="24">
        <v>10000</v>
      </c>
      <c r="I69" s="24">
        <v>10000</v>
      </c>
      <c r="J69" s="27">
        <v>45566</v>
      </c>
      <c r="K69" s="27">
        <v>45574</v>
      </c>
      <c r="L69" s="27">
        <v>45574</v>
      </c>
      <c r="M69" s="23" t="s">
        <v>129</v>
      </c>
      <c r="N69" s="22" t="s">
        <v>111</v>
      </c>
      <c r="O69" s="1"/>
    </row>
    <row r="70" spans="1:15" ht="20.100000000000001" customHeight="1" x14ac:dyDescent="0.3">
      <c r="A70" s="16">
        <v>69</v>
      </c>
      <c r="B70" s="23" t="s">
        <v>126</v>
      </c>
      <c r="C70" s="23" t="s">
        <v>127</v>
      </c>
      <c r="D70" s="45" t="s">
        <v>5</v>
      </c>
      <c r="E70" s="45" t="s">
        <v>84</v>
      </c>
      <c r="F70" s="23" t="s">
        <v>85</v>
      </c>
      <c r="G70" s="23" t="s">
        <v>95</v>
      </c>
      <c r="H70" s="24">
        <v>8899</v>
      </c>
      <c r="I70" s="24">
        <v>8988</v>
      </c>
      <c r="J70" s="27">
        <v>45568</v>
      </c>
      <c r="K70" s="27">
        <v>45613</v>
      </c>
      <c r="L70" s="27">
        <v>45616</v>
      </c>
      <c r="M70" s="23" t="s">
        <v>60</v>
      </c>
      <c r="N70" s="28" t="s">
        <v>134</v>
      </c>
      <c r="O70" s="1"/>
    </row>
    <row r="71" spans="1:15" ht="20.100000000000001" customHeight="1" x14ac:dyDescent="0.3">
      <c r="A71" s="16">
        <v>70</v>
      </c>
      <c r="B71" s="23" t="s">
        <v>19</v>
      </c>
      <c r="C71" s="23" t="s">
        <v>128</v>
      </c>
      <c r="D71" s="45" t="s">
        <v>19</v>
      </c>
      <c r="E71" s="45" t="s">
        <v>93</v>
      </c>
      <c r="F71" s="23" t="s">
        <v>117</v>
      </c>
      <c r="G71" s="23" t="s">
        <v>95</v>
      </c>
      <c r="H71" s="24">
        <v>14550</v>
      </c>
      <c r="I71" s="25" t="s">
        <v>11</v>
      </c>
      <c r="J71" s="27">
        <v>45573</v>
      </c>
      <c r="K71" s="27">
        <v>45594</v>
      </c>
      <c r="L71" s="32">
        <v>45595</v>
      </c>
      <c r="M71" s="23" t="s">
        <v>112</v>
      </c>
      <c r="N71" s="22" t="s">
        <v>111</v>
      </c>
      <c r="O71" s="1"/>
    </row>
    <row r="72" spans="1:15" ht="20.100000000000001" customHeight="1" x14ac:dyDescent="0.3">
      <c r="A72" s="16">
        <v>71</v>
      </c>
      <c r="B72" s="23" t="s">
        <v>19</v>
      </c>
      <c r="C72" s="23" t="s">
        <v>130</v>
      </c>
      <c r="D72" s="45" t="s">
        <v>31</v>
      </c>
      <c r="E72" s="45" t="s">
        <v>90</v>
      </c>
      <c r="F72" s="23" t="s">
        <v>117</v>
      </c>
      <c r="G72" s="23" t="s">
        <v>95</v>
      </c>
      <c r="H72" s="24">
        <v>14550</v>
      </c>
      <c r="I72" s="25" t="s">
        <v>11</v>
      </c>
      <c r="J72" s="27">
        <v>45572</v>
      </c>
      <c r="K72" s="27">
        <v>45594</v>
      </c>
      <c r="L72" s="27">
        <v>45580</v>
      </c>
      <c r="M72" s="23" t="s">
        <v>112</v>
      </c>
      <c r="N72" s="22" t="s">
        <v>111</v>
      </c>
      <c r="O72" s="1"/>
    </row>
    <row r="73" spans="1:15" ht="20.100000000000001" customHeight="1" x14ac:dyDescent="0.3">
      <c r="A73" s="16">
        <v>72</v>
      </c>
      <c r="B73" s="23" t="s">
        <v>19</v>
      </c>
      <c r="C73" s="23" t="s">
        <v>128</v>
      </c>
      <c r="D73" s="45" t="s">
        <v>19</v>
      </c>
      <c r="E73" s="45" t="s">
        <v>93</v>
      </c>
      <c r="F73" s="23" t="s">
        <v>117</v>
      </c>
      <c r="G73" s="23" t="s">
        <v>118</v>
      </c>
      <c r="H73" s="24">
        <v>11495</v>
      </c>
      <c r="I73" s="24">
        <v>11495</v>
      </c>
      <c r="J73" s="27">
        <v>45575</v>
      </c>
      <c r="K73" s="27">
        <v>45596</v>
      </c>
      <c r="L73" s="27">
        <v>45598</v>
      </c>
      <c r="M73" s="23" t="s">
        <v>112</v>
      </c>
      <c r="N73" s="22" t="s">
        <v>111</v>
      </c>
      <c r="O73" s="1"/>
    </row>
    <row r="74" spans="1:15" ht="20.100000000000001" customHeight="1" x14ac:dyDescent="0.3">
      <c r="A74" s="16">
        <v>73</v>
      </c>
      <c r="B74" s="23" t="s">
        <v>131</v>
      </c>
      <c r="C74" s="23" t="s">
        <v>30</v>
      </c>
      <c r="D74" s="45" t="s">
        <v>5</v>
      </c>
      <c r="E74" s="45" t="s">
        <v>84</v>
      </c>
      <c r="F74" s="23" t="s">
        <v>92</v>
      </c>
      <c r="G74" s="23" t="s">
        <v>132</v>
      </c>
      <c r="H74" s="24">
        <v>13028</v>
      </c>
      <c r="I74" s="24">
        <v>13028</v>
      </c>
      <c r="J74" s="27">
        <v>45578</v>
      </c>
      <c r="K74" s="27">
        <v>45643</v>
      </c>
      <c r="L74" s="27">
        <v>45598</v>
      </c>
      <c r="M74" s="23" t="s">
        <v>112</v>
      </c>
      <c r="N74" s="22" t="s">
        <v>111</v>
      </c>
      <c r="O74" s="1"/>
    </row>
    <row r="75" spans="1:15" ht="20.100000000000001" customHeight="1" x14ac:dyDescent="0.3">
      <c r="A75" s="16">
        <v>74</v>
      </c>
      <c r="B75" s="23" t="s">
        <v>133</v>
      </c>
      <c r="C75" s="23" t="s">
        <v>30</v>
      </c>
      <c r="D75" s="45" t="s">
        <v>5</v>
      </c>
      <c r="E75" s="45" t="s">
        <v>84</v>
      </c>
      <c r="F75" s="23" t="s">
        <v>92</v>
      </c>
      <c r="G75" s="23" t="s">
        <v>94</v>
      </c>
      <c r="H75" s="24">
        <v>10499</v>
      </c>
      <c r="I75" s="25" t="s">
        <v>11</v>
      </c>
      <c r="J75" s="27">
        <v>45581</v>
      </c>
      <c r="K75" s="27">
        <v>45645</v>
      </c>
      <c r="L75" s="27">
        <v>45586</v>
      </c>
      <c r="M75" s="23" t="s">
        <v>112</v>
      </c>
      <c r="N75" s="22" t="s">
        <v>111</v>
      </c>
      <c r="O75" s="1"/>
    </row>
    <row r="76" spans="1:15" ht="20.100000000000001" customHeight="1" x14ac:dyDescent="0.3">
      <c r="A76" s="16">
        <v>75</v>
      </c>
      <c r="B76" s="23" t="s">
        <v>135</v>
      </c>
      <c r="C76" s="23" t="s">
        <v>188</v>
      </c>
      <c r="D76" s="45" t="s">
        <v>5</v>
      </c>
      <c r="E76" s="45" t="s">
        <v>84</v>
      </c>
      <c r="F76" s="23" t="s">
        <v>92</v>
      </c>
      <c r="G76" s="23" t="s">
        <v>132</v>
      </c>
      <c r="H76" s="24">
        <v>12899</v>
      </c>
      <c r="I76" s="25" t="s">
        <v>11</v>
      </c>
      <c r="J76" s="27">
        <v>45582</v>
      </c>
      <c r="K76" s="27">
        <v>45648</v>
      </c>
      <c r="L76" s="27">
        <v>45629</v>
      </c>
      <c r="M76" s="23" t="s">
        <v>17</v>
      </c>
      <c r="N76" s="22" t="s">
        <v>111</v>
      </c>
      <c r="O76" s="1"/>
    </row>
    <row r="77" spans="1:15" ht="20.100000000000001" customHeight="1" x14ac:dyDescent="0.3">
      <c r="A77" s="16">
        <v>76</v>
      </c>
      <c r="B77" s="23" t="s">
        <v>136</v>
      </c>
      <c r="C77" s="23" t="s">
        <v>137</v>
      </c>
      <c r="D77" s="45" t="s">
        <v>138</v>
      </c>
      <c r="E77" s="45" t="s">
        <v>84</v>
      </c>
      <c r="F77" s="23" t="s">
        <v>86</v>
      </c>
      <c r="G77" s="23" t="s">
        <v>125</v>
      </c>
      <c r="H77" s="24">
        <v>5135</v>
      </c>
      <c r="I77" s="25" t="s">
        <v>11</v>
      </c>
      <c r="J77" s="27">
        <v>45585</v>
      </c>
      <c r="K77" s="27">
        <v>45613</v>
      </c>
      <c r="L77" s="27">
        <v>45610</v>
      </c>
      <c r="M77" s="23" t="s">
        <v>112</v>
      </c>
      <c r="N77" s="22" t="s">
        <v>111</v>
      </c>
      <c r="O77" s="1"/>
    </row>
    <row r="78" spans="1:15" ht="20.100000000000001" customHeight="1" x14ac:dyDescent="0.3">
      <c r="A78" s="16">
        <v>77</v>
      </c>
      <c r="B78" s="23" t="s">
        <v>19</v>
      </c>
      <c r="C78" s="23" t="s">
        <v>130</v>
      </c>
      <c r="D78" s="45" t="s">
        <v>31</v>
      </c>
      <c r="E78" s="45" t="s">
        <v>84</v>
      </c>
      <c r="F78" s="23" t="s">
        <v>92</v>
      </c>
      <c r="G78" s="23" t="s">
        <v>139</v>
      </c>
      <c r="H78" s="24">
        <v>11277.5</v>
      </c>
      <c r="I78" s="24">
        <v>11277.5</v>
      </c>
      <c r="J78" s="27">
        <v>45587</v>
      </c>
      <c r="K78" s="27">
        <v>45608</v>
      </c>
      <c r="L78" s="27">
        <v>45614</v>
      </c>
      <c r="M78" s="23" t="s">
        <v>112</v>
      </c>
      <c r="N78" s="22" t="s">
        <v>111</v>
      </c>
      <c r="O78" s="1"/>
    </row>
    <row r="79" spans="1:15" ht="20.100000000000001" customHeight="1" x14ac:dyDescent="0.3">
      <c r="A79" s="16">
        <v>78</v>
      </c>
      <c r="B79" s="23" t="s">
        <v>47</v>
      </c>
      <c r="C79" s="23" t="s">
        <v>36</v>
      </c>
      <c r="D79" s="45" t="s">
        <v>34</v>
      </c>
      <c r="E79" s="45" t="s">
        <v>84</v>
      </c>
      <c r="F79" s="23" t="s">
        <v>92</v>
      </c>
      <c r="G79" s="23" t="s">
        <v>139</v>
      </c>
      <c r="H79" s="24">
        <v>8544.91</v>
      </c>
      <c r="I79" s="25" t="s">
        <v>49</v>
      </c>
      <c r="J79" s="27">
        <v>45587</v>
      </c>
      <c r="K79" s="27">
        <v>45598</v>
      </c>
      <c r="L79" s="27">
        <v>45606</v>
      </c>
      <c r="M79" s="23" t="s">
        <v>60</v>
      </c>
      <c r="N79" s="28" t="s">
        <v>151</v>
      </c>
      <c r="O79" s="1"/>
    </row>
    <row r="80" spans="1:15" ht="20.100000000000001" customHeight="1" x14ac:dyDescent="0.3">
      <c r="A80" s="16">
        <v>79</v>
      </c>
      <c r="B80" s="23" t="s">
        <v>140</v>
      </c>
      <c r="C80" s="23" t="s">
        <v>130</v>
      </c>
      <c r="D80" s="45" t="s">
        <v>5</v>
      </c>
      <c r="E80" s="45" t="s">
        <v>84</v>
      </c>
      <c r="F80" s="23" t="s">
        <v>86</v>
      </c>
      <c r="G80" s="23" t="s">
        <v>94</v>
      </c>
      <c r="H80" s="24">
        <v>8943</v>
      </c>
      <c r="I80" s="24">
        <v>9007.01</v>
      </c>
      <c r="J80" s="27">
        <v>45586</v>
      </c>
      <c r="K80" s="27">
        <v>45610</v>
      </c>
      <c r="L80" s="27">
        <v>45614</v>
      </c>
      <c r="M80" s="23" t="s">
        <v>112</v>
      </c>
      <c r="N80" s="22" t="s">
        <v>111</v>
      </c>
      <c r="O80" s="1"/>
    </row>
    <row r="81" spans="1:15" ht="20.100000000000001" customHeight="1" x14ac:dyDescent="0.3">
      <c r="A81" s="16">
        <v>80</v>
      </c>
      <c r="B81" s="23" t="s">
        <v>19</v>
      </c>
      <c r="C81" s="23" t="s">
        <v>128</v>
      </c>
      <c r="D81" s="45" t="s">
        <v>31</v>
      </c>
      <c r="E81" s="45" t="s">
        <v>90</v>
      </c>
      <c r="F81" s="23" t="s">
        <v>117</v>
      </c>
      <c r="G81" s="23" t="s">
        <v>95</v>
      </c>
      <c r="H81" s="24">
        <v>15516</v>
      </c>
      <c r="I81" s="25" t="s">
        <v>11</v>
      </c>
      <c r="J81" s="27">
        <v>45589</v>
      </c>
      <c r="K81" s="27">
        <v>45610</v>
      </c>
      <c r="L81" s="32">
        <v>45595</v>
      </c>
      <c r="M81" s="23" t="s">
        <v>112</v>
      </c>
      <c r="N81" s="22" t="s">
        <v>111</v>
      </c>
      <c r="O81" s="1"/>
    </row>
    <row r="82" spans="1:15" ht="20.100000000000001" customHeight="1" x14ac:dyDescent="0.3">
      <c r="A82" s="16">
        <v>81</v>
      </c>
      <c r="B82" s="23" t="s">
        <v>19</v>
      </c>
      <c r="C82" s="23" t="s">
        <v>128</v>
      </c>
      <c r="D82" s="45" t="s">
        <v>31</v>
      </c>
      <c r="E82" s="45" t="s">
        <v>84</v>
      </c>
      <c r="F82" s="23" t="s">
        <v>92</v>
      </c>
      <c r="G82" s="23" t="s">
        <v>95</v>
      </c>
      <c r="H82" s="24">
        <v>8879</v>
      </c>
      <c r="I82" s="24">
        <v>8879</v>
      </c>
      <c r="J82" s="27">
        <v>45591</v>
      </c>
      <c r="K82" s="27">
        <v>45612</v>
      </c>
      <c r="L82" s="27">
        <v>45615</v>
      </c>
      <c r="M82" s="23" t="s">
        <v>60</v>
      </c>
      <c r="N82" s="28" t="s">
        <v>134</v>
      </c>
      <c r="O82" s="1"/>
    </row>
    <row r="83" spans="1:15" ht="20.100000000000001" customHeight="1" x14ac:dyDescent="0.3">
      <c r="A83" s="16">
        <v>82</v>
      </c>
      <c r="B83" s="23" t="s">
        <v>74</v>
      </c>
      <c r="C83" s="23" t="s">
        <v>130</v>
      </c>
      <c r="D83" s="45" t="s">
        <v>5</v>
      </c>
      <c r="E83" s="45" t="s">
        <v>84</v>
      </c>
      <c r="F83" s="23" t="s">
        <v>92</v>
      </c>
      <c r="G83" s="23" t="s">
        <v>95</v>
      </c>
      <c r="H83" s="24">
        <v>11649</v>
      </c>
      <c r="I83" s="24">
        <v>11749</v>
      </c>
      <c r="J83" s="27">
        <v>45591</v>
      </c>
      <c r="K83" s="27">
        <v>45606</v>
      </c>
      <c r="L83" s="27">
        <v>45614</v>
      </c>
      <c r="M83" s="23" t="s">
        <v>112</v>
      </c>
      <c r="N83" s="22" t="s">
        <v>111</v>
      </c>
      <c r="O83" s="1"/>
    </row>
    <row r="84" spans="1:15" ht="20.100000000000001" customHeight="1" x14ac:dyDescent="0.3">
      <c r="A84" s="16">
        <v>83</v>
      </c>
      <c r="B84" s="23" t="s">
        <v>141</v>
      </c>
      <c r="C84" s="23" t="s">
        <v>58</v>
      </c>
      <c r="D84" s="45" t="s">
        <v>5</v>
      </c>
      <c r="E84" s="45" t="s">
        <v>84</v>
      </c>
      <c r="F84" s="23" t="s">
        <v>86</v>
      </c>
      <c r="G84" s="23" t="s">
        <v>94</v>
      </c>
      <c r="H84" s="24">
        <v>4800</v>
      </c>
      <c r="I84" s="24">
        <v>4800</v>
      </c>
      <c r="J84" s="27">
        <v>45593</v>
      </c>
      <c r="K84" s="27">
        <v>45607</v>
      </c>
      <c r="L84" s="27">
        <v>45617</v>
      </c>
      <c r="M84" s="23" t="s">
        <v>112</v>
      </c>
      <c r="N84" s="22" t="s">
        <v>111</v>
      </c>
      <c r="O84" s="1"/>
    </row>
    <row r="85" spans="1:15" ht="20.100000000000001" customHeight="1" x14ac:dyDescent="0.3">
      <c r="A85" s="16">
        <v>84</v>
      </c>
      <c r="B85" s="23" t="s">
        <v>141</v>
      </c>
      <c r="C85" s="23" t="s">
        <v>58</v>
      </c>
      <c r="D85" s="45" t="s">
        <v>5</v>
      </c>
      <c r="E85" s="45" t="s">
        <v>84</v>
      </c>
      <c r="F85" s="23" t="s">
        <v>86</v>
      </c>
      <c r="G85" s="23" t="s">
        <v>94</v>
      </c>
      <c r="H85" s="24">
        <v>5000</v>
      </c>
      <c r="I85" s="24">
        <v>4800</v>
      </c>
      <c r="J85" s="27">
        <v>45593</v>
      </c>
      <c r="K85" s="27">
        <v>45607</v>
      </c>
      <c r="L85" s="27">
        <v>45617</v>
      </c>
      <c r="M85" s="23" t="s">
        <v>112</v>
      </c>
      <c r="N85" s="22" t="s">
        <v>111</v>
      </c>
      <c r="O85" s="1"/>
    </row>
    <row r="86" spans="1:15" ht="20.100000000000001" customHeight="1" x14ac:dyDescent="0.3">
      <c r="A86" s="16">
        <v>85</v>
      </c>
      <c r="B86" s="23" t="s">
        <v>142</v>
      </c>
      <c r="C86" s="23" t="s">
        <v>145</v>
      </c>
      <c r="D86" s="45" t="s">
        <v>5</v>
      </c>
      <c r="E86" s="45" t="s">
        <v>84</v>
      </c>
      <c r="F86" s="23" t="s">
        <v>92</v>
      </c>
      <c r="G86" s="23" t="s">
        <v>94</v>
      </c>
      <c r="H86" s="24">
        <v>12099</v>
      </c>
      <c r="I86" s="25" t="s">
        <v>11</v>
      </c>
      <c r="J86" s="27">
        <v>45607</v>
      </c>
      <c r="K86" s="27">
        <v>45622</v>
      </c>
      <c r="L86" s="27">
        <v>45623</v>
      </c>
      <c r="M86" s="23" t="s">
        <v>112</v>
      </c>
      <c r="N86" s="22" t="s">
        <v>111</v>
      </c>
      <c r="O86" s="1"/>
    </row>
    <row r="87" spans="1:15" ht="20.100000000000001" customHeight="1" x14ac:dyDescent="0.3">
      <c r="A87" s="16">
        <v>86</v>
      </c>
      <c r="B87" s="23" t="s">
        <v>31</v>
      </c>
      <c r="C87" s="23" t="s">
        <v>128</v>
      </c>
      <c r="D87" s="45" t="s">
        <v>31</v>
      </c>
      <c r="E87" s="45" t="s">
        <v>90</v>
      </c>
      <c r="F87" s="23" t="s">
        <v>117</v>
      </c>
      <c r="G87" s="23" t="s">
        <v>118</v>
      </c>
      <c r="H87" s="24">
        <v>15872</v>
      </c>
      <c r="I87" s="25" t="s">
        <v>143</v>
      </c>
      <c r="J87" s="27">
        <v>45604</v>
      </c>
      <c r="K87" s="27">
        <v>45629</v>
      </c>
      <c r="L87" s="27">
        <v>45610</v>
      </c>
      <c r="M87" s="23" t="s">
        <v>112</v>
      </c>
      <c r="N87" s="22" t="s">
        <v>111</v>
      </c>
      <c r="O87" s="1"/>
    </row>
    <row r="88" spans="1:15" ht="20.100000000000001" customHeight="1" x14ac:dyDescent="0.3">
      <c r="A88" s="16">
        <v>87</v>
      </c>
      <c r="B88" s="23" t="s">
        <v>144</v>
      </c>
      <c r="C88" s="23" t="s">
        <v>21</v>
      </c>
      <c r="D88" s="45" t="s">
        <v>144</v>
      </c>
      <c r="E88" s="45" t="s">
        <v>84</v>
      </c>
      <c r="F88" s="23" t="s">
        <v>86</v>
      </c>
      <c r="G88" s="23" t="s">
        <v>94</v>
      </c>
      <c r="H88" s="24">
        <v>4520</v>
      </c>
      <c r="I88" s="25" t="s">
        <v>49</v>
      </c>
      <c r="J88" s="27">
        <v>45606</v>
      </c>
      <c r="K88" s="27">
        <v>45618</v>
      </c>
      <c r="L88" s="27">
        <v>45617</v>
      </c>
      <c r="M88" s="23" t="s">
        <v>112</v>
      </c>
      <c r="N88" s="22" t="s">
        <v>111</v>
      </c>
      <c r="O88" s="1"/>
    </row>
    <row r="89" spans="1:15" ht="20.100000000000001" customHeight="1" x14ac:dyDescent="0.3">
      <c r="A89" s="16">
        <v>88</v>
      </c>
      <c r="B89" s="23" t="s">
        <v>47</v>
      </c>
      <c r="C89" s="23" t="s">
        <v>113</v>
      </c>
      <c r="D89" s="45" t="s">
        <v>34</v>
      </c>
      <c r="E89" s="45" t="s">
        <v>84</v>
      </c>
      <c r="F89" s="23" t="s">
        <v>92</v>
      </c>
      <c r="G89" s="23" t="s">
        <v>95</v>
      </c>
      <c r="H89" s="24">
        <v>5766</v>
      </c>
      <c r="I89" s="25" t="s">
        <v>49</v>
      </c>
      <c r="J89" s="27">
        <v>45608</v>
      </c>
      <c r="K89" s="27">
        <v>45622</v>
      </c>
      <c r="L89" s="27">
        <v>45621</v>
      </c>
      <c r="M89" s="23" t="s">
        <v>112</v>
      </c>
      <c r="N89" s="22" t="s">
        <v>111</v>
      </c>
      <c r="O89" s="1"/>
    </row>
    <row r="90" spans="1:15" ht="20.100000000000001" customHeight="1" x14ac:dyDescent="0.3">
      <c r="A90" s="16">
        <v>89</v>
      </c>
      <c r="B90" s="23" t="s">
        <v>146</v>
      </c>
      <c r="C90" s="23" t="s">
        <v>58</v>
      </c>
      <c r="D90" s="45" t="s">
        <v>5</v>
      </c>
      <c r="E90" s="45" t="s">
        <v>84</v>
      </c>
      <c r="F90" s="23" t="s">
        <v>86</v>
      </c>
      <c r="G90" s="23" t="s">
        <v>99</v>
      </c>
      <c r="H90" s="24">
        <v>11395</v>
      </c>
      <c r="I90" s="25" t="s">
        <v>11</v>
      </c>
      <c r="J90" s="27">
        <v>45608</v>
      </c>
      <c r="K90" s="27">
        <v>45620</v>
      </c>
      <c r="L90" s="27">
        <v>45623</v>
      </c>
      <c r="M90" s="23" t="s">
        <v>112</v>
      </c>
      <c r="N90" s="22" t="s">
        <v>111</v>
      </c>
      <c r="O90" s="1"/>
    </row>
    <row r="91" spans="1:15" ht="20.100000000000001" customHeight="1" x14ac:dyDescent="0.3">
      <c r="A91" s="16">
        <v>90</v>
      </c>
      <c r="B91" s="23" t="s">
        <v>147</v>
      </c>
      <c r="C91" s="23" t="s">
        <v>21</v>
      </c>
      <c r="D91" s="45" t="s">
        <v>5</v>
      </c>
      <c r="E91" s="45" t="s">
        <v>84</v>
      </c>
      <c r="F91" s="23" t="s">
        <v>92</v>
      </c>
      <c r="G91" s="23" t="s">
        <v>94</v>
      </c>
      <c r="H91" s="24">
        <v>12919</v>
      </c>
      <c r="I91" s="25" t="s">
        <v>11</v>
      </c>
      <c r="J91" s="27">
        <v>45610</v>
      </c>
      <c r="K91" s="27">
        <v>45626</v>
      </c>
      <c r="L91" s="27">
        <v>45623</v>
      </c>
      <c r="M91" s="23" t="s">
        <v>112</v>
      </c>
      <c r="N91" s="22" t="s">
        <v>111</v>
      </c>
      <c r="O91" s="1"/>
    </row>
    <row r="92" spans="1:15" ht="20.100000000000001" customHeight="1" x14ac:dyDescent="0.3">
      <c r="A92" s="16">
        <v>91</v>
      </c>
      <c r="B92" s="23" t="s">
        <v>47</v>
      </c>
      <c r="C92" s="23" t="s">
        <v>113</v>
      </c>
      <c r="D92" s="45" t="s">
        <v>34</v>
      </c>
      <c r="E92" s="45" t="s">
        <v>148</v>
      </c>
      <c r="F92" s="23" t="s">
        <v>92</v>
      </c>
      <c r="G92" s="23" t="s">
        <v>98</v>
      </c>
      <c r="H92" s="24">
        <v>6376</v>
      </c>
      <c r="I92" s="25" t="s">
        <v>49</v>
      </c>
      <c r="J92" s="27">
        <v>45610</v>
      </c>
      <c r="K92" s="27">
        <v>45623</v>
      </c>
      <c r="L92" s="27">
        <v>45621</v>
      </c>
      <c r="M92" s="23" t="s">
        <v>112</v>
      </c>
      <c r="N92" s="22" t="s">
        <v>111</v>
      </c>
      <c r="O92" s="1"/>
    </row>
    <row r="93" spans="1:15" ht="20.100000000000001" customHeight="1" x14ac:dyDescent="0.3">
      <c r="A93" s="16">
        <v>92</v>
      </c>
      <c r="B93" s="23" t="s">
        <v>47</v>
      </c>
      <c r="C93" s="23" t="s">
        <v>149</v>
      </c>
      <c r="D93" s="45" t="s">
        <v>34</v>
      </c>
      <c r="E93" s="45" t="s">
        <v>84</v>
      </c>
      <c r="F93" s="23" t="s">
        <v>150</v>
      </c>
      <c r="G93" s="23" t="s">
        <v>95</v>
      </c>
      <c r="H93" s="24">
        <v>5294</v>
      </c>
      <c r="I93" s="25" t="s">
        <v>49</v>
      </c>
      <c r="J93" s="27">
        <v>45610</v>
      </c>
      <c r="K93" s="27">
        <v>45623</v>
      </c>
      <c r="L93" s="27">
        <v>45621</v>
      </c>
      <c r="M93" s="23" t="s">
        <v>112</v>
      </c>
      <c r="N93" s="22" t="s">
        <v>111</v>
      </c>
      <c r="O93" s="1"/>
    </row>
    <row r="94" spans="1:15" ht="20.100000000000001" customHeight="1" x14ac:dyDescent="0.3">
      <c r="A94" s="16">
        <v>93</v>
      </c>
      <c r="B94" s="23" t="s">
        <v>152</v>
      </c>
      <c r="C94" s="23" t="s">
        <v>130</v>
      </c>
      <c r="D94" s="45" t="s">
        <v>207</v>
      </c>
      <c r="E94" s="45" t="s">
        <v>148</v>
      </c>
      <c r="F94" s="23" t="s">
        <v>150</v>
      </c>
      <c r="G94" s="23" t="s">
        <v>94</v>
      </c>
      <c r="H94" s="24">
        <v>7396</v>
      </c>
      <c r="I94" s="25" t="s">
        <v>11</v>
      </c>
      <c r="J94" s="27">
        <v>45613</v>
      </c>
      <c r="K94" s="27">
        <v>45624</v>
      </c>
      <c r="L94" s="27">
        <v>45622</v>
      </c>
      <c r="M94" s="23" t="s">
        <v>112</v>
      </c>
      <c r="N94" s="22" t="s">
        <v>111</v>
      </c>
      <c r="O94" s="1"/>
    </row>
    <row r="95" spans="1:15" ht="20.100000000000001" customHeight="1" x14ac:dyDescent="0.3">
      <c r="A95" s="16">
        <v>94</v>
      </c>
      <c r="B95" s="23" t="s">
        <v>74</v>
      </c>
      <c r="C95" s="23" t="s">
        <v>130</v>
      </c>
      <c r="D95" s="45" t="s">
        <v>5</v>
      </c>
      <c r="E95" s="45" t="s">
        <v>84</v>
      </c>
      <c r="F95" s="23" t="s">
        <v>92</v>
      </c>
      <c r="G95" s="23" t="s">
        <v>95</v>
      </c>
      <c r="H95" s="24">
        <v>13439</v>
      </c>
      <c r="I95" s="24">
        <v>13575</v>
      </c>
      <c r="J95" s="27">
        <v>45616</v>
      </c>
      <c r="K95" s="27">
        <v>45631</v>
      </c>
      <c r="L95" s="27">
        <v>45622</v>
      </c>
      <c r="M95" s="23" t="s">
        <v>112</v>
      </c>
      <c r="N95" s="22" t="s">
        <v>111</v>
      </c>
      <c r="O95" s="1"/>
    </row>
    <row r="96" spans="1:15" ht="20.100000000000001" customHeight="1" x14ac:dyDescent="0.3">
      <c r="A96" s="16">
        <v>95</v>
      </c>
      <c r="B96" s="23" t="s">
        <v>25</v>
      </c>
      <c r="C96" s="23" t="s">
        <v>28</v>
      </c>
      <c r="D96" s="45" t="s">
        <v>25</v>
      </c>
      <c r="E96" s="45" t="s">
        <v>84</v>
      </c>
      <c r="F96" s="23" t="s">
        <v>153</v>
      </c>
      <c r="G96" s="23" t="s">
        <v>95</v>
      </c>
      <c r="H96" s="24">
        <v>5100</v>
      </c>
      <c r="I96" s="25" t="s">
        <v>49</v>
      </c>
      <c r="J96" s="27">
        <v>45610</v>
      </c>
      <c r="K96" s="27">
        <v>45634</v>
      </c>
      <c r="L96" s="27">
        <v>45643</v>
      </c>
      <c r="M96" s="23" t="s">
        <v>112</v>
      </c>
      <c r="N96" s="22" t="s">
        <v>111</v>
      </c>
      <c r="O96" s="1"/>
    </row>
    <row r="97" spans="1:15" ht="20.100000000000001" customHeight="1" x14ac:dyDescent="0.3">
      <c r="A97" s="16">
        <v>96</v>
      </c>
      <c r="B97" s="23" t="s">
        <v>154</v>
      </c>
      <c r="C97" s="23" t="s">
        <v>30</v>
      </c>
      <c r="D97" s="45" t="s">
        <v>155</v>
      </c>
      <c r="E97" s="45" t="s">
        <v>148</v>
      </c>
      <c r="F97" s="23" t="s">
        <v>86</v>
      </c>
      <c r="G97" s="23" t="s">
        <v>100</v>
      </c>
      <c r="H97" s="24">
        <v>5700</v>
      </c>
      <c r="I97" s="24">
        <v>5800</v>
      </c>
      <c r="J97" s="27">
        <v>45618</v>
      </c>
      <c r="K97" s="27">
        <v>45628</v>
      </c>
      <c r="L97" s="27">
        <v>45623</v>
      </c>
      <c r="M97" s="23" t="s">
        <v>112</v>
      </c>
      <c r="N97" s="22" t="s">
        <v>111</v>
      </c>
      <c r="O97" s="1"/>
    </row>
    <row r="98" spans="1:15" ht="20.100000000000001" customHeight="1" x14ac:dyDescent="0.3">
      <c r="A98" s="16">
        <v>97</v>
      </c>
      <c r="B98" s="23" t="s">
        <v>156</v>
      </c>
      <c r="C98" s="23" t="s">
        <v>157</v>
      </c>
      <c r="D98" s="45" t="s">
        <v>5</v>
      </c>
      <c r="E98" s="45" t="s">
        <v>84</v>
      </c>
      <c r="F98" s="23" t="s">
        <v>153</v>
      </c>
      <c r="G98" s="23" t="s">
        <v>98</v>
      </c>
      <c r="H98" s="24">
        <v>7965</v>
      </c>
      <c r="I98" s="24">
        <v>7965</v>
      </c>
      <c r="J98" s="27">
        <v>45620</v>
      </c>
      <c r="K98" s="27">
        <v>45631</v>
      </c>
      <c r="L98" s="27">
        <v>45636</v>
      </c>
      <c r="M98" s="23" t="s">
        <v>112</v>
      </c>
      <c r="N98" s="22" t="s">
        <v>111</v>
      </c>
      <c r="O98" s="1"/>
    </row>
    <row r="99" spans="1:15" ht="20.100000000000001" customHeight="1" x14ac:dyDescent="0.3">
      <c r="A99" s="16">
        <v>98</v>
      </c>
      <c r="B99" s="23" t="s">
        <v>25</v>
      </c>
      <c r="C99" s="23" t="s">
        <v>28</v>
      </c>
      <c r="D99" s="45" t="s">
        <v>27</v>
      </c>
      <c r="E99" s="45" t="s">
        <v>90</v>
      </c>
      <c r="F99" s="23" t="s">
        <v>88</v>
      </c>
      <c r="G99" s="23" t="s">
        <v>95</v>
      </c>
      <c r="H99" s="24">
        <v>6000</v>
      </c>
      <c r="I99" s="24">
        <v>6000</v>
      </c>
      <c r="J99" s="27">
        <v>45615</v>
      </c>
      <c r="K99" s="27">
        <v>45631</v>
      </c>
      <c r="L99" s="27">
        <v>45616</v>
      </c>
      <c r="M99" s="23" t="s">
        <v>158</v>
      </c>
      <c r="N99" s="22" t="s">
        <v>111</v>
      </c>
      <c r="O99" s="1"/>
    </row>
    <row r="100" spans="1:15" ht="20.100000000000001" customHeight="1" x14ac:dyDescent="0.3">
      <c r="A100" s="16">
        <v>99</v>
      </c>
      <c r="B100" s="23" t="s">
        <v>159</v>
      </c>
      <c r="C100" s="23" t="s">
        <v>188</v>
      </c>
      <c r="D100" s="45" t="s">
        <v>5</v>
      </c>
      <c r="E100" s="45" t="s">
        <v>160</v>
      </c>
      <c r="F100" s="23" t="s">
        <v>105</v>
      </c>
      <c r="G100" s="23" t="s">
        <v>95</v>
      </c>
      <c r="H100" s="24">
        <v>8449</v>
      </c>
      <c r="I100" s="25" t="s">
        <v>11</v>
      </c>
      <c r="J100" s="27">
        <v>45623</v>
      </c>
      <c r="K100" s="27">
        <v>45636</v>
      </c>
      <c r="L100" s="27">
        <v>45649</v>
      </c>
      <c r="M100" s="23" t="s">
        <v>17</v>
      </c>
      <c r="N100" s="22" t="s">
        <v>111</v>
      </c>
      <c r="O100" s="1"/>
    </row>
    <row r="101" spans="1:15" ht="20.100000000000001" customHeight="1" x14ac:dyDescent="0.3">
      <c r="A101" s="16">
        <v>100</v>
      </c>
      <c r="B101" s="23" t="s">
        <v>161</v>
      </c>
      <c r="C101" s="23" t="s">
        <v>36</v>
      </c>
      <c r="D101" s="45" t="s">
        <v>5</v>
      </c>
      <c r="E101" s="45" t="s">
        <v>160</v>
      </c>
      <c r="F101" s="23" t="s">
        <v>150</v>
      </c>
      <c r="G101" s="23" t="s">
        <v>94</v>
      </c>
      <c r="H101" s="24">
        <v>6211</v>
      </c>
      <c r="I101" s="24">
        <v>6211</v>
      </c>
      <c r="J101" s="27">
        <v>45623</v>
      </c>
      <c r="K101" s="27">
        <v>45636</v>
      </c>
      <c r="L101" s="27">
        <v>45645</v>
      </c>
      <c r="M101" s="23" t="s">
        <v>112</v>
      </c>
      <c r="N101" s="22" t="s">
        <v>111</v>
      </c>
      <c r="O101" s="1"/>
    </row>
    <row r="102" spans="1:15" ht="20.100000000000001" customHeight="1" x14ac:dyDescent="0.3">
      <c r="A102" s="16">
        <v>101</v>
      </c>
      <c r="B102" s="23" t="s">
        <v>162</v>
      </c>
      <c r="C102" s="23" t="s">
        <v>188</v>
      </c>
      <c r="D102" s="45" t="s">
        <v>5</v>
      </c>
      <c r="E102" s="45" t="s">
        <v>84</v>
      </c>
      <c r="F102" s="23" t="s">
        <v>92</v>
      </c>
      <c r="G102" s="23" t="s">
        <v>95</v>
      </c>
      <c r="H102" s="24">
        <v>14905</v>
      </c>
      <c r="I102" s="25" t="s">
        <v>11</v>
      </c>
      <c r="J102" s="27">
        <v>45625</v>
      </c>
      <c r="K102" s="27">
        <v>45641</v>
      </c>
      <c r="L102" s="27">
        <v>45646</v>
      </c>
      <c r="M102" s="23" t="s">
        <v>174</v>
      </c>
      <c r="N102" s="28" t="s">
        <v>134</v>
      </c>
      <c r="O102" s="1"/>
    </row>
    <row r="103" spans="1:15" ht="20.100000000000001" customHeight="1" x14ac:dyDescent="0.3">
      <c r="A103" s="16">
        <v>102</v>
      </c>
      <c r="B103" s="23" t="s">
        <v>163</v>
      </c>
      <c r="C103" s="23" t="s">
        <v>30</v>
      </c>
      <c r="D103" s="45" t="s">
        <v>5</v>
      </c>
      <c r="E103" s="45" t="s">
        <v>164</v>
      </c>
      <c r="F103" s="23" t="s">
        <v>150</v>
      </c>
      <c r="G103" s="23" t="s">
        <v>118</v>
      </c>
      <c r="H103" s="24">
        <v>10249</v>
      </c>
      <c r="I103" s="25" t="s">
        <v>11</v>
      </c>
      <c r="J103" s="27">
        <v>45626</v>
      </c>
      <c r="K103" s="27">
        <v>45638</v>
      </c>
      <c r="L103" s="27">
        <v>45641</v>
      </c>
      <c r="M103" s="23" t="s">
        <v>60</v>
      </c>
      <c r="N103" s="28" t="s">
        <v>134</v>
      </c>
      <c r="O103" s="1"/>
    </row>
    <row r="104" spans="1:15" ht="20.100000000000001" customHeight="1" x14ac:dyDescent="0.3">
      <c r="A104" s="16">
        <v>103</v>
      </c>
      <c r="B104" s="23" t="s">
        <v>165</v>
      </c>
      <c r="C104" s="23" t="s">
        <v>30</v>
      </c>
      <c r="D104" s="45" t="s">
        <v>166</v>
      </c>
      <c r="E104" s="45" t="s">
        <v>164</v>
      </c>
      <c r="F104" s="23" t="s">
        <v>107</v>
      </c>
      <c r="G104" s="23" t="s">
        <v>95</v>
      </c>
      <c r="H104" s="24">
        <v>9029</v>
      </c>
      <c r="I104" s="25" t="s">
        <v>11</v>
      </c>
      <c r="J104" s="27">
        <v>45626</v>
      </c>
      <c r="K104" s="27">
        <v>45638</v>
      </c>
      <c r="L104" s="27">
        <v>45641</v>
      </c>
      <c r="M104" s="23" t="s">
        <v>60</v>
      </c>
      <c r="N104" s="28" t="s">
        <v>134</v>
      </c>
      <c r="O104" s="1"/>
    </row>
    <row r="105" spans="1:15" ht="20.100000000000001" customHeight="1" x14ac:dyDescent="0.3">
      <c r="A105" s="16">
        <v>104</v>
      </c>
      <c r="B105" s="23" t="s">
        <v>167</v>
      </c>
      <c r="C105" s="23" t="s">
        <v>82</v>
      </c>
      <c r="D105" s="45" t="s">
        <v>166</v>
      </c>
      <c r="E105" s="45" t="s">
        <v>160</v>
      </c>
      <c r="F105" s="23" t="s">
        <v>105</v>
      </c>
      <c r="G105" s="23" t="s">
        <v>118</v>
      </c>
      <c r="H105" s="24">
        <v>9029</v>
      </c>
      <c r="I105" s="25" t="s">
        <v>11</v>
      </c>
      <c r="J105" s="27">
        <v>45626</v>
      </c>
      <c r="K105" s="27">
        <v>45638</v>
      </c>
      <c r="L105" s="27">
        <v>45652</v>
      </c>
      <c r="M105" s="23" t="s">
        <v>17</v>
      </c>
      <c r="N105" s="22" t="s">
        <v>111</v>
      </c>
      <c r="O105" s="1"/>
    </row>
    <row r="106" spans="1:15" ht="20.100000000000001" customHeight="1" x14ac:dyDescent="0.3">
      <c r="A106" s="16">
        <v>105</v>
      </c>
      <c r="B106" s="23" t="s">
        <v>168</v>
      </c>
      <c r="C106" s="23" t="s">
        <v>169</v>
      </c>
      <c r="D106" s="45" t="s">
        <v>5</v>
      </c>
      <c r="E106" s="45" t="s">
        <v>84</v>
      </c>
      <c r="F106" s="23" t="s">
        <v>150</v>
      </c>
      <c r="G106" s="23" t="s">
        <v>94</v>
      </c>
      <c r="H106" s="24">
        <v>12099</v>
      </c>
      <c r="I106" s="25" t="s">
        <v>11</v>
      </c>
      <c r="J106" s="27">
        <v>45628</v>
      </c>
      <c r="K106" s="27">
        <v>45643</v>
      </c>
      <c r="L106" s="27">
        <v>45646</v>
      </c>
      <c r="M106" s="23" t="s">
        <v>60</v>
      </c>
      <c r="N106" s="28" t="s">
        <v>134</v>
      </c>
      <c r="O106" s="1"/>
    </row>
    <row r="107" spans="1:15" ht="20.100000000000001" customHeight="1" x14ac:dyDescent="0.3">
      <c r="A107" s="16">
        <v>106</v>
      </c>
      <c r="B107" s="23" t="s">
        <v>47</v>
      </c>
      <c r="C107" s="23" t="s">
        <v>113</v>
      </c>
      <c r="D107" s="45" t="s">
        <v>34</v>
      </c>
      <c r="E107" s="45" t="s">
        <v>84</v>
      </c>
      <c r="F107" s="23" t="s">
        <v>150</v>
      </c>
      <c r="G107" s="23" t="s">
        <v>96</v>
      </c>
      <c r="H107" s="24">
        <v>5217</v>
      </c>
      <c r="I107" s="25" t="s">
        <v>49</v>
      </c>
      <c r="J107" s="27">
        <v>45627</v>
      </c>
      <c r="K107" s="27">
        <v>45640</v>
      </c>
      <c r="L107" s="27">
        <v>45636</v>
      </c>
      <c r="M107" s="23" t="s">
        <v>112</v>
      </c>
      <c r="N107" s="22" t="s">
        <v>111</v>
      </c>
      <c r="O107" s="1"/>
    </row>
    <row r="108" spans="1:15" ht="20.100000000000001" customHeight="1" x14ac:dyDescent="0.3">
      <c r="A108" s="16">
        <v>107</v>
      </c>
      <c r="B108" s="23" t="s">
        <v>170</v>
      </c>
      <c r="C108" s="23" t="s">
        <v>77</v>
      </c>
      <c r="D108" s="45" t="s">
        <v>5</v>
      </c>
      <c r="E108" s="45" t="s">
        <v>148</v>
      </c>
      <c r="F108" s="23" t="s">
        <v>85</v>
      </c>
      <c r="G108" s="23" t="s">
        <v>95</v>
      </c>
      <c r="H108" s="24">
        <v>6211</v>
      </c>
      <c r="I108" s="24">
        <v>6211</v>
      </c>
      <c r="J108" s="27">
        <v>45630</v>
      </c>
      <c r="K108" s="27">
        <v>45640</v>
      </c>
      <c r="L108" s="27">
        <v>45645</v>
      </c>
      <c r="M108" s="23" t="s">
        <v>112</v>
      </c>
      <c r="N108" s="22" t="s">
        <v>111</v>
      </c>
      <c r="O108" s="1"/>
    </row>
    <row r="109" spans="1:15" ht="20.100000000000001" customHeight="1" x14ac:dyDescent="0.3">
      <c r="A109" s="16">
        <v>108</v>
      </c>
      <c r="B109" s="23" t="s">
        <v>171</v>
      </c>
      <c r="C109" s="23" t="s">
        <v>33</v>
      </c>
      <c r="D109" s="45" t="s">
        <v>31</v>
      </c>
      <c r="E109" s="45" t="s">
        <v>84</v>
      </c>
      <c r="F109" s="23" t="s">
        <v>92</v>
      </c>
      <c r="G109" s="23" t="s">
        <v>95</v>
      </c>
      <c r="H109" s="24">
        <v>7707</v>
      </c>
      <c r="I109" s="24">
        <v>7707</v>
      </c>
      <c r="J109" s="27">
        <v>45635</v>
      </c>
      <c r="K109" s="27">
        <v>45657</v>
      </c>
      <c r="L109" s="27">
        <v>45638</v>
      </c>
      <c r="M109" s="23" t="s">
        <v>112</v>
      </c>
      <c r="N109" s="22" t="s">
        <v>111</v>
      </c>
      <c r="O109" s="1"/>
    </row>
    <row r="110" spans="1:15" ht="20.100000000000001" customHeight="1" x14ac:dyDescent="0.3">
      <c r="A110" s="16">
        <v>109</v>
      </c>
      <c r="B110" s="23" t="s">
        <v>172</v>
      </c>
      <c r="C110" s="23" t="s">
        <v>30</v>
      </c>
      <c r="D110" s="45" t="s">
        <v>5</v>
      </c>
      <c r="E110" s="45" t="s">
        <v>160</v>
      </c>
      <c r="F110" s="23" t="s">
        <v>92</v>
      </c>
      <c r="G110" s="23" t="s">
        <v>118</v>
      </c>
      <c r="H110" s="24">
        <v>11199</v>
      </c>
      <c r="I110" s="24">
        <v>11257</v>
      </c>
      <c r="J110" s="27">
        <v>45638</v>
      </c>
      <c r="K110" s="27">
        <v>45650</v>
      </c>
      <c r="L110" s="27">
        <v>45645</v>
      </c>
      <c r="M110" s="23" t="s">
        <v>112</v>
      </c>
      <c r="N110" s="22" t="s">
        <v>111</v>
      </c>
      <c r="O110" s="1"/>
    </row>
    <row r="111" spans="1:15" ht="20.100000000000001" customHeight="1" x14ac:dyDescent="0.3">
      <c r="A111" s="16">
        <v>110</v>
      </c>
      <c r="B111" s="23" t="s">
        <v>173</v>
      </c>
      <c r="C111" s="23" t="s">
        <v>130</v>
      </c>
      <c r="D111" s="45" t="s">
        <v>5</v>
      </c>
      <c r="E111" s="45" t="s">
        <v>148</v>
      </c>
      <c r="F111" s="23" t="s">
        <v>92</v>
      </c>
      <c r="G111" s="23" t="s">
        <v>95</v>
      </c>
      <c r="H111" s="24">
        <v>13099</v>
      </c>
      <c r="I111" s="24">
        <v>13231</v>
      </c>
      <c r="J111" s="27">
        <v>45638</v>
      </c>
      <c r="K111" s="27">
        <v>45654</v>
      </c>
      <c r="L111" s="27">
        <v>45655</v>
      </c>
      <c r="M111" s="23" t="s">
        <v>112</v>
      </c>
      <c r="N111" s="22" t="s">
        <v>111</v>
      </c>
      <c r="O111" s="1"/>
    </row>
    <row r="112" spans="1:15" ht="20.100000000000001" customHeight="1" x14ac:dyDescent="0.3">
      <c r="A112" s="16">
        <v>111</v>
      </c>
      <c r="B112" s="35" t="s">
        <v>31</v>
      </c>
      <c r="C112" s="35" t="s">
        <v>128</v>
      </c>
      <c r="D112" s="47" t="s">
        <v>31</v>
      </c>
      <c r="E112" s="47" t="s">
        <v>90</v>
      </c>
      <c r="F112" s="35" t="s">
        <v>117</v>
      </c>
      <c r="G112" s="35" t="s">
        <v>118</v>
      </c>
      <c r="H112" s="36">
        <v>8700</v>
      </c>
      <c r="I112" s="37" t="s">
        <v>49</v>
      </c>
      <c r="J112" s="38">
        <v>45640</v>
      </c>
      <c r="K112" s="38">
        <v>45662</v>
      </c>
      <c r="L112" s="38">
        <v>45655</v>
      </c>
      <c r="M112" s="35" t="s">
        <v>112</v>
      </c>
      <c r="N112" s="39" t="s">
        <v>111</v>
      </c>
      <c r="O112" s="1"/>
    </row>
    <row r="113" spans="8:15" ht="20.100000000000001" customHeight="1" x14ac:dyDescent="0.3">
      <c r="J113" s="1"/>
      <c r="O113" s="1"/>
    </row>
    <row r="114" spans="8:15" ht="20.100000000000001" customHeight="1" x14ac:dyDescent="0.3">
      <c r="J114" s="1"/>
      <c r="O114" s="1"/>
    </row>
    <row r="115" spans="8:15" ht="20.100000000000001" customHeight="1" x14ac:dyDescent="0.3">
      <c r="H115" s="42"/>
      <c r="J115" s="1"/>
      <c r="O115" s="1"/>
    </row>
    <row r="116" spans="8:15" ht="20.100000000000001" customHeight="1" x14ac:dyDescent="0.3">
      <c r="I116" s="42"/>
      <c r="J116" s="1"/>
      <c r="O116" s="1"/>
    </row>
    <row r="117" spans="8:15" ht="20.100000000000001" customHeight="1" x14ac:dyDescent="0.3">
      <c r="J117" s="1"/>
      <c r="O117" s="1"/>
    </row>
    <row r="118" spans="8:15" ht="20.100000000000001" customHeight="1" x14ac:dyDescent="0.3">
      <c r="J118" s="1"/>
      <c r="O118" s="1"/>
    </row>
    <row r="119" spans="8:15" ht="20.100000000000001" customHeight="1" x14ac:dyDescent="0.3">
      <c r="J119" s="1"/>
      <c r="O119" s="1"/>
    </row>
    <row r="120" spans="8:15" ht="20.100000000000001" customHeight="1" x14ac:dyDescent="0.3">
      <c r="J120" s="1"/>
      <c r="O120" s="1"/>
    </row>
    <row r="121" spans="8:15" ht="20.100000000000001" customHeight="1" x14ac:dyDescent="0.3">
      <c r="J121" s="1"/>
      <c r="O121" s="1"/>
    </row>
    <row r="122" spans="8:15" ht="20.100000000000001" customHeight="1" x14ac:dyDescent="0.3">
      <c r="J122" s="1"/>
      <c r="O122" s="1"/>
    </row>
    <row r="123" spans="8:15" ht="20.100000000000001" customHeight="1" x14ac:dyDescent="0.3">
      <c r="J123" s="1"/>
      <c r="O123" s="1"/>
    </row>
    <row r="124" spans="8:15" ht="20.100000000000001" customHeight="1" x14ac:dyDescent="0.3">
      <c r="J124" s="1"/>
      <c r="O124" s="1"/>
    </row>
    <row r="125" spans="8:15" ht="20.100000000000001" customHeight="1" x14ac:dyDescent="0.3">
      <c r="J125" s="1"/>
      <c r="O125" s="1"/>
    </row>
    <row r="126" spans="8:15" ht="20.100000000000001" customHeight="1" x14ac:dyDescent="0.3">
      <c r="J126" s="1"/>
      <c r="O126" s="1"/>
    </row>
    <row r="127" spans="8:15" ht="20.100000000000001" customHeight="1" x14ac:dyDescent="0.3">
      <c r="J127" s="1"/>
      <c r="O127" s="1"/>
    </row>
    <row r="128" spans="8:15" ht="20.100000000000001" customHeight="1" x14ac:dyDescent="0.3">
      <c r="J128" s="1"/>
      <c r="O128" s="1"/>
    </row>
    <row r="129" s="1" customFormat="1" ht="20.100000000000001" customHeight="1" x14ac:dyDescent="0.3"/>
    <row r="130" s="1" customFormat="1" ht="20.100000000000001" customHeight="1" x14ac:dyDescent="0.3"/>
    <row r="131" s="1" customFormat="1" ht="20.100000000000001" customHeight="1" x14ac:dyDescent="0.3"/>
    <row r="132" s="1" customFormat="1" ht="20.100000000000001" customHeight="1" x14ac:dyDescent="0.3"/>
    <row r="133" s="1" customFormat="1" ht="20.100000000000001" customHeight="1" x14ac:dyDescent="0.3"/>
    <row r="134" s="1" customFormat="1" ht="20.100000000000001" customHeight="1" x14ac:dyDescent="0.3"/>
    <row r="135" s="1" customFormat="1" ht="20.100000000000001" customHeight="1" x14ac:dyDescent="0.3"/>
    <row r="136" s="1" customFormat="1" ht="20.100000000000001" customHeight="1" x14ac:dyDescent="0.3"/>
    <row r="137" s="1" customFormat="1" ht="20.100000000000001" customHeight="1" x14ac:dyDescent="0.3"/>
    <row r="138" s="1" customFormat="1" ht="20.100000000000001" customHeight="1" x14ac:dyDescent="0.3"/>
    <row r="139" s="1" customFormat="1" ht="20.100000000000001" customHeight="1" x14ac:dyDescent="0.3"/>
    <row r="140" s="1" customFormat="1" ht="20.100000000000001" customHeight="1" x14ac:dyDescent="0.3"/>
    <row r="141" s="1" customFormat="1" ht="20.100000000000001" customHeight="1" x14ac:dyDescent="0.3"/>
    <row r="142" s="1" customFormat="1" ht="20.100000000000001" customHeight="1" x14ac:dyDescent="0.3"/>
    <row r="143" s="1" customFormat="1" ht="20.100000000000001" customHeight="1" x14ac:dyDescent="0.3"/>
    <row r="144" s="1" customFormat="1" ht="20.100000000000001" customHeight="1" x14ac:dyDescent="0.3"/>
    <row r="145" s="1" customFormat="1" ht="20.100000000000001" customHeight="1" x14ac:dyDescent="0.3"/>
    <row r="146" s="1" customFormat="1" ht="20.100000000000001" customHeight="1" x14ac:dyDescent="0.3"/>
    <row r="147" s="1" customFormat="1" ht="20.100000000000001" customHeight="1" x14ac:dyDescent="0.3"/>
    <row r="148" s="1" customFormat="1" ht="20.100000000000001" customHeight="1" x14ac:dyDescent="0.3"/>
    <row r="149" s="1" customFormat="1" ht="20.100000000000001" customHeight="1" x14ac:dyDescent="0.3"/>
    <row r="150" s="1" customFormat="1" ht="20.100000000000001" customHeight="1" x14ac:dyDescent="0.3"/>
    <row r="151" s="1" customFormat="1" ht="20.100000000000001" customHeight="1" x14ac:dyDescent="0.3"/>
    <row r="152" s="1" customFormat="1" ht="20.100000000000001" customHeight="1" x14ac:dyDescent="0.3"/>
    <row r="153" s="1" customFormat="1" ht="20.100000000000001" customHeight="1" x14ac:dyDescent="0.3"/>
    <row r="154" s="1" customFormat="1" ht="20.100000000000001" customHeight="1" x14ac:dyDescent="0.3"/>
    <row r="155" s="1" customFormat="1" ht="20.100000000000001" customHeight="1" x14ac:dyDescent="0.3"/>
    <row r="156" s="1" customFormat="1" ht="20.100000000000001" customHeight="1" x14ac:dyDescent="0.3"/>
    <row r="157" s="1" customFormat="1" ht="20.100000000000001" customHeight="1" x14ac:dyDescent="0.3"/>
    <row r="158" s="1" customFormat="1" ht="20.100000000000001" customHeight="1" x14ac:dyDescent="0.3"/>
    <row r="159" s="1" customFormat="1" ht="20.100000000000001" customHeight="1" x14ac:dyDescent="0.3"/>
    <row r="160" s="1" customFormat="1" ht="20.100000000000001" customHeight="1" x14ac:dyDescent="0.3"/>
    <row r="161" s="1" customFormat="1" ht="20.100000000000001" customHeight="1" x14ac:dyDescent="0.3"/>
    <row r="162" s="1" customFormat="1" ht="20.100000000000001" customHeight="1" x14ac:dyDescent="0.3"/>
    <row r="163" s="1" customFormat="1" ht="20.100000000000001" customHeight="1" x14ac:dyDescent="0.3"/>
    <row r="164" s="1" customFormat="1" ht="20.100000000000001" customHeight="1" x14ac:dyDescent="0.3"/>
    <row r="165" s="1" customFormat="1" ht="20.100000000000001" customHeight="1" x14ac:dyDescent="0.3"/>
    <row r="166" s="1" customFormat="1" ht="20.100000000000001" customHeight="1" x14ac:dyDescent="0.3"/>
    <row r="167" s="1" customFormat="1" ht="20.100000000000001" customHeight="1" x14ac:dyDescent="0.3"/>
    <row r="168" s="1" customFormat="1" ht="20.100000000000001" customHeight="1" x14ac:dyDescent="0.3"/>
    <row r="169" s="1" customFormat="1" ht="20.100000000000001" customHeight="1" x14ac:dyDescent="0.3"/>
    <row r="170" s="1" customFormat="1" ht="20.100000000000001" customHeight="1" x14ac:dyDescent="0.3"/>
    <row r="171" s="1" customFormat="1" ht="20.100000000000001" customHeight="1" x14ac:dyDescent="0.3"/>
    <row r="172" s="1" customFormat="1" ht="20.100000000000001" customHeight="1" x14ac:dyDescent="0.3"/>
    <row r="173" s="1" customFormat="1" ht="20.100000000000001" customHeight="1" x14ac:dyDescent="0.3"/>
    <row r="174" s="1" customFormat="1" ht="20.100000000000001" customHeight="1" x14ac:dyDescent="0.3"/>
    <row r="175" s="1" customFormat="1" ht="20.100000000000001" customHeight="1" x14ac:dyDescent="0.3"/>
    <row r="176" s="1" customFormat="1" ht="20.100000000000001" customHeight="1" x14ac:dyDescent="0.3"/>
    <row r="177" s="1" customFormat="1" ht="20.100000000000001" customHeight="1" x14ac:dyDescent="0.3"/>
    <row r="178" s="1" customFormat="1" ht="20.100000000000001" customHeight="1" x14ac:dyDescent="0.3"/>
    <row r="179" s="1" customFormat="1" ht="20.100000000000001" customHeight="1" x14ac:dyDescent="0.3"/>
    <row r="180" s="1" customFormat="1" ht="20.100000000000001" customHeight="1" x14ac:dyDescent="0.3"/>
    <row r="181" s="1" customFormat="1" ht="20.100000000000001" customHeight="1" x14ac:dyDescent="0.3"/>
    <row r="182" s="1" customFormat="1" ht="20.100000000000001" customHeight="1" x14ac:dyDescent="0.3"/>
    <row r="183" s="1" customFormat="1" ht="20.100000000000001" customHeight="1" x14ac:dyDescent="0.3"/>
    <row r="184" s="1" customFormat="1" ht="20.100000000000001" customHeight="1" x14ac:dyDescent="0.3"/>
    <row r="185" s="1" customFormat="1" ht="20.100000000000001" customHeight="1" x14ac:dyDescent="0.3"/>
    <row r="186" s="1" customFormat="1" ht="20.100000000000001" customHeight="1" x14ac:dyDescent="0.3"/>
    <row r="187" s="1" customFormat="1" ht="20.100000000000001" customHeight="1" x14ac:dyDescent="0.3"/>
    <row r="188" s="1" customFormat="1" ht="20.100000000000001" customHeight="1" x14ac:dyDescent="0.3"/>
    <row r="189" s="1" customFormat="1" ht="20.100000000000001" customHeight="1" x14ac:dyDescent="0.3"/>
    <row r="190" s="1" customFormat="1" ht="20.100000000000001" customHeight="1" x14ac:dyDescent="0.3"/>
    <row r="191" s="1" customFormat="1" ht="20.100000000000001" customHeight="1" x14ac:dyDescent="0.3"/>
    <row r="192" s="1" customFormat="1" ht="20.100000000000001" customHeight="1" x14ac:dyDescent="0.3"/>
    <row r="193" s="1" customFormat="1" ht="20.100000000000001" customHeight="1" x14ac:dyDescent="0.3"/>
    <row r="194" s="1" customFormat="1" ht="20.100000000000001" customHeight="1" x14ac:dyDescent="0.3"/>
    <row r="195" s="1" customFormat="1" ht="20.100000000000001" customHeight="1" x14ac:dyDescent="0.3"/>
    <row r="196" s="1" customFormat="1" ht="20.100000000000001" customHeight="1" x14ac:dyDescent="0.3"/>
    <row r="197" s="1" customFormat="1" ht="20.100000000000001" customHeight="1" x14ac:dyDescent="0.3"/>
    <row r="198" s="1" customFormat="1" ht="20.100000000000001" customHeight="1" x14ac:dyDescent="0.3"/>
    <row r="199" s="1" customFormat="1" ht="20.100000000000001" customHeight="1" x14ac:dyDescent="0.3"/>
    <row r="200" s="1" customFormat="1" ht="20.100000000000001" customHeight="1" x14ac:dyDescent="0.3"/>
    <row r="201" s="1" customFormat="1" ht="20.100000000000001" customHeight="1" x14ac:dyDescent="0.3"/>
    <row r="202" s="1" customFormat="1" ht="20.100000000000001" customHeight="1" x14ac:dyDescent="0.3"/>
    <row r="203" s="1" customFormat="1" ht="20.100000000000001" customHeight="1" x14ac:dyDescent="0.3"/>
    <row r="204" s="1" customFormat="1" ht="20.100000000000001" customHeight="1" x14ac:dyDescent="0.3"/>
    <row r="205" s="1" customFormat="1" ht="20.100000000000001" customHeight="1" x14ac:dyDescent="0.3"/>
    <row r="206" s="1" customFormat="1" ht="20.100000000000001" customHeight="1" x14ac:dyDescent="0.3"/>
    <row r="207" s="1" customFormat="1" ht="20.100000000000001" customHeight="1" x14ac:dyDescent="0.3"/>
    <row r="208" s="1" customFormat="1" ht="20.100000000000001" customHeight="1" x14ac:dyDescent="0.3"/>
    <row r="209" s="1" customFormat="1" ht="20.100000000000001" customHeight="1" x14ac:dyDescent="0.3"/>
    <row r="210" s="1" customFormat="1" ht="20.100000000000001" customHeight="1" x14ac:dyDescent="0.3"/>
    <row r="211" s="1" customFormat="1" ht="20.100000000000001" customHeight="1" x14ac:dyDescent="0.3"/>
    <row r="212" s="1" customFormat="1" ht="20.100000000000001" customHeight="1" x14ac:dyDescent="0.3"/>
    <row r="213" s="1" customFormat="1" ht="20.100000000000001" customHeight="1" x14ac:dyDescent="0.3"/>
    <row r="214" s="1" customFormat="1" ht="20.100000000000001" customHeight="1" x14ac:dyDescent="0.3"/>
    <row r="215" s="1" customFormat="1" ht="20.100000000000001" customHeight="1" x14ac:dyDescent="0.3"/>
    <row r="216" s="1" customFormat="1" ht="20.100000000000001" customHeight="1" x14ac:dyDescent="0.3"/>
    <row r="217" s="1" customFormat="1" ht="20.100000000000001" customHeight="1" x14ac:dyDescent="0.3"/>
    <row r="218" s="1" customFormat="1" ht="20.100000000000001" customHeight="1" x14ac:dyDescent="0.3"/>
    <row r="219" s="1" customFormat="1" ht="20.100000000000001" customHeight="1" x14ac:dyDescent="0.3"/>
    <row r="220" s="1" customFormat="1" ht="20.100000000000001" customHeight="1" x14ac:dyDescent="0.3"/>
    <row r="221" s="1" customFormat="1" ht="20.100000000000001" customHeight="1" x14ac:dyDescent="0.3"/>
    <row r="222" s="1" customFormat="1" ht="20.100000000000001" customHeight="1" x14ac:dyDescent="0.3"/>
    <row r="223" s="1" customFormat="1" ht="20.100000000000001" customHeight="1" x14ac:dyDescent="0.3"/>
    <row r="224" s="1" customFormat="1" ht="20.100000000000001" customHeight="1" x14ac:dyDescent="0.3"/>
    <row r="225" s="1" customFormat="1" ht="20.100000000000001" customHeight="1" x14ac:dyDescent="0.3"/>
    <row r="226" s="1" customFormat="1" ht="20.100000000000001" customHeight="1" x14ac:dyDescent="0.3"/>
    <row r="227" s="1" customFormat="1" ht="20.100000000000001" customHeight="1" x14ac:dyDescent="0.3"/>
    <row r="228" s="1" customFormat="1" ht="20.100000000000001" customHeight="1" x14ac:dyDescent="0.3"/>
    <row r="229" s="1" customFormat="1" ht="20.100000000000001" customHeight="1" x14ac:dyDescent="0.3"/>
    <row r="230" s="1" customFormat="1" ht="20.100000000000001" customHeight="1" x14ac:dyDescent="0.3"/>
    <row r="231" s="1" customFormat="1" ht="20.100000000000001" customHeight="1" x14ac:dyDescent="0.3"/>
    <row r="232" s="1" customFormat="1" ht="20.100000000000001" customHeight="1" x14ac:dyDescent="0.3"/>
    <row r="233" s="1" customFormat="1" ht="20.100000000000001" customHeight="1" x14ac:dyDescent="0.3"/>
    <row r="234" s="1" customFormat="1" ht="20.100000000000001" customHeight="1" x14ac:dyDescent="0.3"/>
    <row r="235" s="1" customFormat="1" ht="20.100000000000001" customHeight="1" x14ac:dyDescent="0.3"/>
    <row r="236" s="1" customFormat="1" ht="20.100000000000001" customHeight="1" x14ac:dyDescent="0.3"/>
    <row r="237" s="1" customFormat="1" ht="20.100000000000001" customHeight="1" x14ac:dyDescent="0.3"/>
    <row r="238" s="1" customFormat="1" ht="20.100000000000001" customHeight="1" x14ac:dyDescent="0.3"/>
    <row r="239" s="1" customFormat="1" ht="20.100000000000001" customHeight="1" x14ac:dyDescent="0.3"/>
    <row r="240" s="1" customFormat="1" ht="20.100000000000001" customHeight="1" x14ac:dyDescent="0.3"/>
    <row r="241" s="1" customFormat="1" ht="20.100000000000001" customHeight="1" x14ac:dyDescent="0.3"/>
    <row r="242" s="1" customFormat="1" ht="20.100000000000001" customHeight="1" x14ac:dyDescent="0.3"/>
    <row r="243" s="1" customFormat="1" ht="20.100000000000001" customHeight="1" x14ac:dyDescent="0.3"/>
    <row r="244" s="1" customFormat="1" ht="20.100000000000001" customHeight="1" x14ac:dyDescent="0.3"/>
    <row r="245" s="1" customFormat="1" ht="20.100000000000001" customHeight="1" x14ac:dyDescent="0.3"/>
    <row r="246" s="1" customFormat="1" ht="20.100000000000001" customHeight="1" x14ac:dyDescent="0.3"/>
    <row r="247" s="1" customFormat="1" ht="20.100000000000001" customHeight="1" x14ac:dyDescent="0.3"/>
    <row r="248" s="1" customFormat="1" ht="20.100000000000001" customHeight="1" x14ac:dyDescent="0.3"/>
    <row r="249" s="1" customFormat="1" ht="20.100000000000001" customHeight="1" x14ac:dyDescent="0.3"/>
    <row r="250" s="1" customFormat="1" ht="20.100000000000001" customHeight="1" x14ac:dyDescent="0.3"/>
    <row r="251" s="1" customFormat="1" ht="20.100000000000001" customHeight="1" x14ac:dyDescent="0.3"/>
    <row r="252" s="1" customFormat="1" ht="20.100000000000001" customHeight="1" x14ac:dyDescent="0.3"/>
    <row r="253" s="1" customFormat="1" ht="20.100000000000001" customHeight="1" x14ac:dyDescent="0.3"/>
    <row r="254" s="1" customFormat="1" ht="20.100000000000001" customHeight="1" x14ac:dyDescent="0.3"/>
    <row r="255" s="1" customFormat="1" ht="20.100000000000001" customHeight="1" x14ac:dyDescent="0.3"/>
    <row r="256" s="1" customFormat="1" ht="20.100000000000001" customHeight="1" x14ac:dyDescent="0.3"/>
    <row r="257" s="1" customFormat="1" ht="20.100000000000001" customHeight="1" x14ac:dyDescent="0.3"/>
    <row r="258" s="1" customFormat="1" ht="20.100000000000001" customHeight="1" x14ac:dyDescent="0.3"/>
    <row r="259" s="1" customFormat="1" ht="20.100000000000001" customHeight="1" x14ac:dyDescent="0.3"/>
    <row r="260" s="1" customFormat="1" ht="20.100000000000001" customHeight="1" x14ac:dyDescent="0.3"/>
    <row r="261" s="1" customFormat="1" ht="20.100000000000001" customHeight="1" x14ac:dyDescent="0.3"/>
    <row r="262" s="1" customFormat="1" ht="20.100000000000001" customHeight="1" x14ac:dyDescent="0.3"/>
    <row r="263" s="1" customFormat="1" ht="20.100000000000001" customHeight="1" x14ac:dyDescent="0.3"/>
    <row r="264" s="1" customFormat="1" ht="20.100000000000001" customHeight="1" x14ac:dyDescent="0.3"/>
    <row r="265" s="1" customFormat="1" ht="20.100000000000001" customHeight="1" x14ac:dyDescent="0.3"/>
    <row r="266" s="1" customFormat="1" ht="20.100000000000001" customHeight="1" x14ac:dyDescent="0.3"/>
    <row r="267" s="1" customFormat="1" ht="20.100000000000001" customHeight="1" x14ac:dyDescent="0.3"/>
    <row r="268" s="1" customFormat="1" ht="20.100000000000001" customHeight="1" x14ac:dyDescent="0.3"/>
    <row r="269" s="1" customFormat="1" ht="20.100000000000001" customHeight="1" x14ac:dyDescent="0.3"/>
    <row r="270" s="1" customFormat="1" ht="20.100000000000001" customHeight="1" x14ac:dyDescent="0.3"/>
    <row r="271" s="1" customFormat="1" ht="20.100000000000001" customHeight="1" x14ac:dyDescent="0.3"/>
    <row r="272" s="1" customFormat="1" ht="20.100000000000001" customHeight="1" x14ac:dyDescent="0.3"/>
    <row r="273" spans="10:15" ht="20.100000000000001" customHeight="1" x14ac:dyDescent="0.3">
      <c r="J273" s="1"/>
      <c r="O273" s="1"/>
    </row>
    <row r="274" spans="10:15" ht="20.100000000000001" customHeight="1" x14ac:dyDescent="0.3">
      <c r="J274" s="1"/>
      <c r="O274" s="1"/>
    </row>
    <row r="275" spans="10:15" ht="20.100000000000001" customHeight="1" x14ac:dyDescent="0.3">
      <c r="J275" s="1"/>
      <c r="O275" s="1"/>
    </row>
    <row r="276" spans="10:15" ht="20.100000000000001" customHeight="1" x14ac:dyDescent="0.3">
      <c r="J276" s="1"/>
      <c r="O276" s="1"/>
    </row>
    <row r="277" spans="10:15" ht="20.100000000000001" customHeight="1" x14ac:dyDescent="0.3">
      <c r="J277" s="1"/>
      <c r="O277" s="1"/>
    </row>
    <row r="278" spans="10:15" ht="20.100000000000001" customHeight="1" x14ac:dyDescent="0.3">
      <c r="J278" s="1"/>
      <c r="O278" s="1"/>
    </row>
    <row r="279" spans="10:15" ht="20.100000000000001" customHeight="1" x14ac:dyDescent="0.3">
      <c r="O279" s="1"/>
    </row>
    <row r="280" spans="10:15" ht="20.100000000000001" customHeight="1" x14ac:dyDescent="0.3">
      <c r="O280" s="1"/>
    </row>
    <row r="281" spans="10:15" ht="20.100000000000001" customHeight="1" x14ac:dyDescent="0.3">
      <c r="O281" s="1"/>
    </row>
    <row r="282" spans="10:15" ht="20.100000000000001" customHeight="1" x14ac:dyDescent="0.3">
      <c r="O282" s="1"/>
    </row>
    <row r="283" spans="10:15" ht="20.100000000000001" customHeight="1" x14ac:dyDescent="0.3">
      <c r="O283" s="1"/>
    </row>
    <row r="284" spans="10:15" ht="20.100000000000001" customHeight="1" x14ac:dyDescent="0.3">
      <c r="O284" s="1"/>
    </row>
    <row r="285" spans="10:15" ht="20.100000000000001" customHeight="1" x14ac:dyDescent="0.3">
      <c r="O285" s="1"/>
    </row>
    <row r="286" spans="10:15" ht="20.100000000000001" customHeight="1" x14ac:dyDescent="0.3">
      <c r="O286" s="1"/>
    </row>
    <row r="287" spans="10:15" ht="20.100000000000001" customHeight="1" x14ac:dyDescent="0.3">
      <c r="O287" s="1"/>
    </row>
    <row r="288" spans="10:15" ht="20.100000000000001" customHeight="1" x14ac:dyDescent="0.3">
      <c r="O288" s="1"/>
    </row>
    <row r="289" spans="15:15" ht="20.100000000000001" customHeight="1" x14ac:dyDescent="0.3">
      <c r="O289" s="1"/>
    </row>
    <row r="290" spans="15:15" ht="20.100000000000001" customHeight="1" x14ac:dyDescent="0.3">
      <c r="O290" s="1"/>
    </row>
    <row r="291" spans="15:15" ht="20.100000000000001" customHeight="1" x14ac:dyDescent="0.3">
      <c r="O291" s="1"/>
    </row>
    <row r="292" spans="15:15" ht="20.100000000000001" customHeight="1" x14ac:dyDescent="0.3">
      <c r="O292" s="1"/>
    </row>
    <row r="293" spans="15:15" ht="20.100000000000001" customHeight="1" x14ac:dyDescent="0.3">
      <c r="O293" s="1"/>
    </row>
    <row r="294" spans="15:15" ht="20.100000000000001" customHeight="1" x14ac:dyDescent="0.3">
      <c r="O294" s="1"/>
    </row>
    <row r="295" spans="15:15" ht="20.100000000000001" customHeight="1" x14ac:dyDescent="0.3">
      <c r="O295" s="1"/>
    </row>
    <row r="296" spans="15:15" ht="20.100000000000001" customHeight="1" x14ac:dyDescent="0.3">
      <c r="O296" s="1"/>
    </row>
    <row r="297" spans="15:15" ht="20.100000000000001" customHeight="1" x14ac:dyDescent="0.3">
      <c r="O297" s="1"/>
    </row>
    <row r="298" spans="15:15" ht="20.100000000000001" customHeight="1" x14ac:dyDescent="0.3">
      <c r="O298" s="1"/>
    </row>
    <row r="299" spans="15:15" ht="20.100000000000001" customHeight="1" x14ac:dyDescent="0.3">
      <c r="O299" s="1"/>
    </row>
    <row r="300" spans="15:15" ht="20.100000000000001" customHeight="1" x14ac:dyDescent="0.3">
      <c r="O300" s="1"/>
    </row>
    <row r="301" spans="15:15" ht="20.100000000000001" customHeight="1" x14ac:dyDescent="0.3">
      <c r="O301" s="1"/>
    </row>
    <row r="302" spans="15:15" ht="20.100000000000001" customHeight="1" x14ac:dyDescent="0.3">
      <c r="O302" s="1"/>
    </row>
    <row r="303" spans="15:15" ht="20.100000000000001" customHeight="1" x14ac:dyDescent="0.3">
      <c r="O303" s="1"/>
    </row>
    <row r="304" spans="15:15" ht="20.100000000000001" customHeight="1" x14ac:dyDescent="0.3">
      <c r="O304" s="1"/>
    </row>
    <row r="305" spans="15:15" ht="20.100000000000001" customHeight="1" x14ac:dyDescent="0.3">
      <c r="O305" s="1"/>
    </row>
    <row r="306" spans="15:15" ht="20.100000000000001" customHeight="1" x14ac:dyDescent="0.3">
      <c r="O306" s="1"/>
    </row>
    <row r="307" spans="15:15" ht="20.100000000000001" customHeight="1" x14ac:dyDescent="0.3">
      <c r="O307" s="1"/>
    </row>
    <row r="308" spans="15:15" ht="20.100000000000001" customHeight="1" x14ac:dyDescent="0.3">
      <c r="O308" s="1"/>
    </row>
    <row r="309" spans="15:15" ht="20.100000000000001" customHeight="1" x14ac:dyDescent="0.3">
      <c r="O309" s="1"/>
    </row>
    <row r="310" spans="15:15" ht="20.100000000000001" customHeight="1" x14ac:dyDescent="0.3">
      <c r="O310" s="1"/>
    </row>
    <row r="311" spans="15:15" ht="20.100000000000001" customHeight="1" x14ac:dyDescent="0.3">
      <c r="O311" s="1"/>
    </row>
    <row r="312" spans="15:15" ht="20.100000000000001" customHeight="1" x14ac:dyDescent="0.3">
      <c r="O312" s="1"/>
    </row>
    <row r="313" spans="15:15" ht="20.100000000000001" customHeight="1" x14ac:dyDescent="0.3">
      <c r="O313" s="1"/>
    </row>
    <row r="314" spans="15:15" ht="20.100000000000001" customHeight="1" x14ac:dyDescent="0.3">
      <c r="O314" s="1"/>
    </row>
    <row r="315" spans="15:15" ht="20.100000000000001" customHeight="1" x14ac:dyDescent="0.3">
      <c r="O315" s="1"/>
    </row>
    <row r="316" spans="15:15" ht="20.100000000000001" customHeight="1" x14ac:dyDescent="0.3">
      <c r="O316" s="1"/>
    </row>
    <row r="317" spans="15:15" ht="20.100000000000001" customHeight="1" x14ac:dyDescent="0.3">
      <c r="O317" s="1"/>
    </row>
    <row r="318" spans="15:15" ht="20.100000000000001" customHeight="1" x14ac:dyDescent="0.3">
      <c r="O318" s="1"/>
    </row>
    <row r="319" spans="15:15" ht="20.100000000000001" customHeight="1" x14ac:dyDescent="0.3">
      <c r="O319" s="1"/>
    </row>
    <row r="320" spans="15:15" ht="20.100000000000001" customHeight="1" x14ac:dyDescent="0.3">
      <c r="O320" s="1"/>
    </row>
    <row r="321" spans="15:15" ht="20.100000000000001" customHeight="1" x14ac:dyDescent="0.3">
      <c r="O321" s="1"/>
    </row>
    <row r="322" spans="15:15" ht="20.100000000000001" customHeight="1" x14ac:dyDescent="0.3">
      <c r="O322" s="1"/>
    </row>
    <row r="323" spans="15:15" ht="20.100000000000001" customHeight="1" x14ac:dyDescent="0.3">
      <c r="O323" s="1"/>
    </row>
    <row r="324" spans="15:15" ht="20.100000000000001" customHeight="1" x14ac:dyDescent="0.3">
      <c r="O324" s="1"/>
    </row>
    <row r="325" spans="15:15" ht="20.100000000000001" customHeight="1" x14ac:dyDescent="0.3">
      <c r="O325" s="1"/>
    </row>
    <row r="326" spans="15:15" ht="20.100000000000001" customHeight="1" x14ac:dyDescent="0.3">
      <c r="O326" s="1"/>
    </row>
    <row r="327" spans="15:15" ht="20.100000000000001" customHeight="1" x14ac:dyDescent="0.3">
      <c r="O327" s="1"/>
    </row>
    <row r="328" spans="15:15" ht="20.100000000000001" customHeight="1" x14ac:dyDescent="0.3">
      <c r="O328" s="1"/>
    </row>
    <row r="329" spans="15:15" ht="20.100000000000001" customHeight="1" x14ac:dyDescent="0.3">
      <c r="O329" s="1"/>
    </row>
    <row r="330" spans="15:15" ht="20.100000000000001" customHeight="1" x14ac:dyDescent="0.3">
      <c r="O330" s="1"/>
    </row>
    <row r="331" spans="15:15" ht="20.100000000000001" customHeight="1" x14ac:dyDescent="0.3">
      <c r="O331" s="1"/>
    </row>
    <row r="332" spans="15:15" ht="20.100000000000001" customHeight="1" x14ac:dyDescent="0.3">
      <c r="O332" s="1"/>
    </row>
    <row r="333" spans="15:15" ht="20.100000000000001" customHeight="1" x14ac:dyDescent="0.3">
      <c r="O333" s="1"/>
    </row>
    <row r="334" spans="15:15" ht="20.100000000000001" customHeight="1" x14ac:dyDescent="0.3">
      <c r="O334" s="1"/>
    </row>
    <row r="335" spans="15:15" ht="20.100000000000001" customHeight="1" x14ac:dyDescent="0.3">
      <c r="O335" s="1"/>
    </row>
    <row r="336" spans="15:15" ht="20.100000000000001" customHeight="1" x14ac:dyDescent="0.3">
      <c r="O336" s="1"/>
    </row>
    <row r="337" spans="15:15" ht="20.100000000000001" customHeight="1" x14ac:dyDescent="0.3">
      <c r="O337" s="1"/>
    </row>
    <row r="338" spans="15:15" ht="20.100000000000001" customHeight="1" x14ac:dyDescent="0.3">
      <c r="O338" s="1"/>
    </row>
    <row r="339" spans="15:15" ht="20.100000000000001" customHeight="1" x14ac:dyDescent="0.3">
      <c r="O339" s="1"/>
    </row>
    <row r="340" spans="15:15" ht="20.100000000000001" customHeight="1" x14ac:dyDescent="0.3">
      <c r="O340" s="1"/>
    </row>
    <row r="341" spans="15:15" ht="20.100000000000001" customHeight="1" x14ac:dyDescent="0.3">
      <c r="O341" s="1"/>
    </row>
    <row r="342" spans="15:15" ht="20.100000000000001" customHeight="1" x14ac:dyDescent="0.3">
      <c r="O342" s="1"/>
    </row>
    <row r="343" spans="15:15" ht="20.100000000000001" customHeight="1" x14ac:dyDescent="0.3">
      <c r="O343" s="1"/>
    </row>
    <row r="344" spans="15:15" ht="20.100000000000001" customHeight="1" x14ac:dyDescent="0.3">
      <c r="O344" s="1"/>
    </row>
    <row r="345" spans="15:15" ht="20.100000000000001" customHeight="1" x14ac:dyDescent="0.3">
      <c r="O345" s="1"/>
    </row>
    <row r="346" spans="15:15" ht="20.100000000000001" customHeight="1" x14ac:dyDescent="0.3">
      <c r="O346" s="1"/>
    </row>
    <row r="347" spans="15:15" ht="20.100000000000001" customHeight="1" x14ac:dyDescent="0.3">
      <c r="O347" s="1"/>
    </row>
    <row r="348" spans="15:15" ht="20.100000000000001" customHeight="1" x14ac:dyDescent="0.3">
      <c r="O348" s="1"/>
    </row>
    <row r="349" spans="15:15" ht="20.100000000000001" customHeight="1" x14ac:dyDescent="0.3">
      <c r="O349" s="1"/>
    </row>
    <row r="350" spans="15:15" ht="20.100000000000001" customHeight="1" x14ac:dyDescent="0.3">
      <c r="O350" s="1"/>
    </row>
    <row r="351" spans="15:15" ht="20.100000000000001" customHeight="1" x14ac:dyDescent="0.3">
      <c r="O351" s="1"/>
    </row>
    <row r="352" spans="15:15" ht="20.100000000000001" customHeight="1" x14ac:dyDescent="0.3">
      <c r="O352" s="1"/>
    </row>
    <row r="353" spans="15:15" ht="20.100000000000001" customHeight="1" x14ac:dyDescent="0.3">
      <c r="O353" s="1"/>
    </row>
    <row r="354" spans="15:15" ht="20.100000000000001" customHeight="1" x14ac:dyDescent="0.3">
      <c r="O354" s="1"/>
    </row>
    <row r="355" spans="15:15" ht="20.100000000000001" customHeight="1" x14ac:dyDescent="0.3">
      <c r="O355" s="1"/>
    </row>
    <row r="356" spans="15:15" ht="20.100000000000001" customHeight="1" x14ac:dyDescent="0.3">
      <c r="O356" s="1"/>
    </row>
    <row r="357" spans="15:15" ht="20.100000000000001" customHeight="1" x14ac:dyDescent="0.3">
      <c r="O357" s="1"/>
    </row>
    <row r="358" spans="15:15" ht="20.100000000000001" customHeight="1" x14ac:dyDescent="0.3">
      <c r="O358" s="1"/>
    </row>
    <row r="359" spans="15:15" ht="20.100000000000001" customHeight="1" x14ac:dyDescent="0.3">
      <c r="O359" s="1"/>
    </row>
    <row r="360" spans="15:15" ht="20.100000000000001" customHeight="1" x14ac:dyDescent="0.3">
      <c r="O360" s="1"/>
    </row>
    <row r="361" spans="15:15" ht="20.100000000000001" customHeight="1" x14ac:dyDescent="0.3">
      <c r="O361" s="1"/>
    </row>
    <row r="362" spans="15:15" ht="20.100000000000001" customHeight="1" x14ac:dyDescent="0.3">
      <c r="O362" s="1"/>
    </row>
    <row r="363" spans="15:15" ht="20.100000000000001" customHeight="1" x14ac:dyDescent="0.3">
      <c r="O363" s="1"/>
    </row>
    <row r="364" spans="15:15" ht="20.100000000000001" customHeight="1" x14ac:dyDescent="0.3">
      <c r="O364" s="1"/>
    </row>
    <row r="365" spans="15:15" ht="20.100000000000001" customHeight="1" x14ac:dyDescent="0.3">
      <c r="O365" s="1"/>
    </row>
    <row r="366" spans="15:15" ht="20.100000000000001" customHeight="1" x14ac:dyDescent="0.3">
      <c r="O366" s="1"/>
    </row>
    <row r="367" spans="15:15" ht="20.100000000000001" customHeight="1" x14ac:dyDescent="0.3">
      <c r="O367" s="1"/>
    </row>
    <row r="368" spans="15:15" ht="20.100000000000001" customHeight="1" x14ac:dyDescent="0.3">
      <c r="O368" s="1"/>
    </row>
    <row r="369" spans="15:15" ht="20.100000000000001" customHeight="1" x14ac:dyDescent="0.3">
      <c r="O369" s="1"/>
    </row>
    <row r="370" spans="15:15" ht="20.100000000000001" customHeight="1" x14ac:dyDescent="0.3">
      <c r="O370" s="1"/>
    </row>
    <row r="371" spans="15:15" ht="20.100000000000001" customHeight="1" x14ac:dyDescent="0.3">
      <c r="O371" s="1"/>
    </row>
    <row r="372" spans="15:15" ht="20.100000000000001" customHeight="1" x14ac:dyDescent="0.3">
      <c r="O372" s="1"/>
    </row>
    <row r="373" spans="15:15" ht="20.100000000000001" customHeight="1" x14ac:dyDescent="0.3">
      <c r="O373" s="1"/>
    </row>
    <row r="374" spans="15:15" ht="20.100000000000001" customHeight="1" x14ac:dyDescent="0.3">
      <c r="O374" s="1"/>
    </row>
    <row r="375" spans="15:15" ht="20.100000000000001" customHeight="1" x14ac:dyDescent="0.3">
      <c r="O375" s="1"/>
    </row>
    <row r="376" spans="15:15" ht="20.100000000000001" customHeight="1" x14ac:dyDescent="0.3">
      <c r="O376" s="1"/>
    </row>
    <row r="377" spans="15:15" ht="20.100000000000001" customHeight="1" x14ac:dyDescent="0.3">
      <c r="O377" s="1"/>
    </row>
    <row r="378" spans="15:15" ht="20.100000000000001" customHeight="1" x14ac:dyDescent="0.3">
      <c r="O378" s="1"/>
    </row>
    <row r="379" spans="15:15" ht="20.100000000000001" customHeight="1" x14ac:dyDescent="0.3">
      <c r="O379" s="1"/>
    </row>
    <row r="380" spans="15:15" ht="20.100000000000001" customHeight="1" x14ac:dyDescent="0.3">
      <c r="O380" s="1"/>
    </row>
    <row r="381" spans="15:15" ht="20.100000000000001" customHeight="1" x14ac:dyDescent="0.3">
      <c r="O381" s="1"/>
    </row>
    <row r="382" spans="15:15" ht="20.100000000000001" customHeight="1" x14ac:dyDescent="0.3">
      <c r="O382" s="1"/>
    </row>
    <row r="383" spans="15:15" ht="20.100000000000001" customHeight="1" x14ac:dyDescent="0.3">
      <c r="O383" s="1"/>
    </row>
    <row r="384" spans="15:15" ht="20.100000000000001" customHeight="1" x14ac:dyDescent="0.3">
      <c r="O384" s="1"/>
    </row>
    <row r="385" spans="15:15" ht="20.100000000000001" customHeight="1" x14ac:dyDescent="0.3">
      <c r="O385" s="1"/>
    </row>
    <row r="386" spans="15:15" ht="20.100000000000001" customHeight="1" x14ac:dyDescent="0.3">
      <c r="O386" s="1"/>
    </row>
    <row r="387" spans="15:15" ht="20.100000000000001" customHeight="1" x14ac:dyDescent="0.3">
      <c r="O387" s="1"/>
    </row>
    <row r="388" spans="15:15" ht="20.100000000000001" customHeight="1" x14ac:dyDescent="0.3">
      <c r="O388" s="1"/>
    </row>
    <row r="389" spans="15:15" ht="20.100000000000001" customHeight="1" x14ac:dyDescent="0.3">
      <c r="O389" s="1"/>
    </row>
    <row r="390" spans="15:15" ht="20.100000000000001" customHeight="1" x14ac:dyDescent="0.3">
      <c r="O390" s="1"/>
    </row>
    <row r="391" spans="15:15" ht="20.100000000000001" customHeight="1" x14ac:dyDescent="0.3">
      <c r="O391" s="1"/>
    </row>
    <row r="392" spans="15:15" ht="20.100000000000001" customHeight="1" x14ac:dyDescent="0.3">
      <c r="O392" s="1"/>
    </row>
    <row r="393" spans="15:15" ht="20.100000000000001" customHeight="1" x14ac:dyDescent="0.3">
      <c r="O393" s="1"/>
    </row>
    <row r="394" spans="15:15" ht="20.100000000000001" customHeight="1" x14ac:dyDescent="0.3">
      <c r="O394" s="1"/>
    </row>
    <row r="395" spans="15:15" ht="20.100000000000001" customHeight="1" x14ac:dyDescent="0.3">
      <c r="O395" s="1"/>
    </row>
    <row r="396" spans="15:15" ht="20.100000000000001" customHeight="1" x14ac:dyDescent="0.3">
      <c r="O396" s="1"/>
    </row>
    <row r="397" spans="15:15" ht="20.100000000000001" customHeight="1" x14ac:dyDescent="0.3">
      <c r="O397" s="1"/>
    </row>
    <row r="398" spans="15:15" ht="20.100000000000001" customHeight="1" x14ac:dyDescent="0.3">
      <c r="O398" s="1"/>
    </row>
    <row r="399" spans="15:15" ht="20.100000000000001" customHeight="1" x14ac:dyDescent="0.3">
      <c r="O399" s="1"/>
    </row>
    <row r="400" spans="15:15" ht="20.100000000000001" customHeight="1" x14ac:dyDescent="0.3">
      <c r="O400" s="1"/>
    </row>
    <row r="401" spans="15:15" ht="20.100000000000001" customHeight="1" x14ac:dyDescent="0.3">
      <c r="O401" s="1"/>
    </row>
    <row r="402" spans="15:15" ht="20.100000000000001" customHeight="1" x14ac:dyDescent="0.3">
      <c r="O402" s="1"/>
    </row>
    <row r="403" spans="15:15" ht="20.100000000000001" customHeight="1" x14ac:dyDescent="0.3">
      <c r="O403" s="1"/>
    </row>
    <row r="404" spans="15:15" ht="20.100000000000001" customHeight="1" x14ac:dyDescent="0.3">
      <c r="O404" s="1"/>
    </row>
    <row r="405" spans="15:15" ht="20.100000000000001" customHeight="1" x14ac:dyDescent="0.3">
      <c r="O405" s="1"/>
    </row>
    <row r="406" spans="15:15" ht="20.100000000000001" customHeight="1" x14ac:dyDescent="0.3">
      <c r="O406" s="1"/>
    </row>
    <row r="407" spans="15:15" ht="20.100000000000001" customHeight="1" x14ac:dyDescent="0.3">
      <c r="O407" s="1"/>
    </row>
    <row r="408" spans="15:15" ht="20.100000000000001" customHeight="1" x14ac:dyDescent="0.3">
      <c r="O408" s="1"/>
    </row>
    <row r="409" spans="15:15" ht="20.100000000000001" customHeight="1" x14ac:dyDescent="0.3">
      <c r="O409" s="1"/>
    </row>
    <row r="410" spans="15:15" ht="20.100000000000001" customHeight="1" x14ac:dyDescent="0.3">
      <c r="O410" s="1"/>
    </row>
    <row r="411" spans="15:15" ht="20.100000000000001" customHeight="1" x14ac:dyDescent="0.3">
      <c r="O411" s="1"/>
    </row>
    <row r="412" spans="15:15" ht="20.100000000000001" customHeight="1" x14ac:dyDescent="0.3">
      <c r="O412" s="1"/>
    </row>
    <row r="413" spans="15:15" ht="20.100000000000001" customHeight="1" x14ac:dyDescent="0.3">
      <c r="O413" s="1"/>
    </row>
    <row r="414" spans="15:15" ht="20.100000000000001" customHeight="1" x14ac:dyDescent="0.3">
      <c r="O414" s="1"/>
    </row>
    <row r="415" spans="15:15" ht="20.100000000000001" customHeight="1" x14ac:dyDescent="0.3">
      <c r="O415" s="1"/>
    </row>
    <row r="416" spans="15:15" ht="20.100000000000001" customHeight="1" x14ac:dyDescent="0.3">
      <c r="O416" s="1"/>
    </row>
    <row r="417" spans="15:15" ht="20.100000000000001" customHeight="1" x14ac:dyDescent="0.3">
      <c r="O417" s="1"/>
    </row>
    <row r="418" spans="15:15" ht="20.100000000000001" customHeight="1" x14ac:dyDescent="0.3">
      <c r="O418" s="1"/>
    </row>
    <row r="419" spans="15:15" ht="20.100000000000001" customHeight="1" x14ac:dyDescent="0.3">
      <c r="O419" s="1"/>
    </row>
    <row r="420" spans="15:15" ht="20.100000000000001" customHeight="1" x14ac:dyDescent="0.3">
      <c r="O420" s="1"/>
    </row>
    <row r="421" spans="15:15" ht="20.100000000000001" customHeight="1" x14ac:dyDescent="0.3">
      <c r="O421" s="1"/>
    </row>
    <row r="422" spans="15:15" ht="20.100000000000001" customHeight="1" x14ac:dyDescent="0.3">
      <c r="O422" s="1"/>
    </row>
    <row r="423" spans="15:15" ht="20.100000000000001" customHeight="1" x14ac:dyDescent="0.3">
      <c r="O423" s="1"/>
    </row>
    <row r="424" spans="15:15" ht="20.100000000000001" customHeight="1" x14ac:dyDescent="0.3">
      <c r="O424" s="1"/>
    </row>
    <row r="425" spans="15:15" ht="20.100000000000001" customHeight="1" x14ac:dyDescent="0.3">
      <c r="O425" s="1"/>
    </row>
    <row r="426" spans="15:15" ht="20.100000000000001" customHeight="1" x14ac:dyDescent="0.3">
      <c r="O426" s="1"/>
    </row>
    <row r="427" spans="15:15" ht="20.100000000000001" customHeight="1" x14ac:dyDescent="0.3">
      <c r="O427" s="1"/>
    </row>
    <row r="428" spans="15:15" ht="20.100000000000001" customHeight="1" x14ac:dyDescent="0.3">
      <c r="O428" s="1"/>
    </row>
    <row r="429" spans="15:15" ht="20.100000000000001" customHeight="1" x14ac:dyDescent="0.3">
      <c r="O429" s="1"/>
    </row>
    <row r="430" spans="15:15" ht="20.100000000000001" customHeight="1" x14ac:dyDescent="0.3">
      <c r="O430" s="1"/>
    </row>
    <row r="431" spans="15:15" ht="20.100000000000001" customHeight="1" x14ac:dyDescent="0.3">
      <c r="O431" s="1"/>
    </row>
    <row r="432" spans="15:15" ht="20.100000000000001" customHeight="1" x14ac:dyDescent="0.3">
      <c r="O432" s="1"/>
    </row>
    <row r="433" spans="15:15" ht="20.100000000000001" customHeight="1" x14ac:dyDescent="0.3">
      <c r="O433" s="1"/>
    </row>
    <row r="434" spans="15:15" ht="20.100000000000001" customHeight="1" x14ac:dyDescent="0.3">
      <c r="O434" s="1"/>
    </row>
    <row r="435" spans="15:15" ht="20.100000000000001" customHeight="1" x14ac:dyDescent="0.3">
      <c r="O435" s="1"/>
    </row>
    <row r="436" spans="15:15" ht="20.100000000000001" customHeight="1" x14ac:dyDescent="0.3">
      <c r="O436" s="1"/>
    </row>
    <row r="437" spans="15:15" ht="20.100000000000001" customHeight="1" x14ac:dyDescent="0.3">
      <c r="O437" s="1"/>
    </row>
    <row r="438" spans="15:15" ht="20.100000000000001" customHeight="1" x14ac:dyDescent="0.3">
      <c r="O438" s="1"/>
    </row>
    <row r="439" spans="15:15" ht="20.100000000000001" customHeight="1" x14ac:dyDescent="0.3">
      <c r="O439" s="1"/>
    </row>
    <row r="440" spans="15:15" ht="20.100000000000001" customHeight="1" x14ac:dyDescent="0.3">
      <c r="O440" s="1"/>
    </row>
    <row r="441" spans="15:15" ht="20.100000000000001" customHeight="1" x14ac:dyDescent="0.3">
      <c r="O441" s="1"/>
    </row>
    <row r="442" spans="15:15" ht="20.100000000000001" customHeight="1" x14ac:dyDescent="0.3">
      <c r="O442" s="1"/>
    </row>
    <row r="443" spans="15:15" ht="20.100000000000001" customHeight="1" x14ac:dyDescent="0.3">
      <c r="O443" s="1"/>
    </row>
    <row r="444" spans="15:15" ht="20.100000000000001" customHeight="1" x14ac:dyDescent="0.3">
      <c r="O444" s="1"/>
    </row>
    <row r="445" spans="15:15" ht="20.100000000000001" customHeight="1" x14ac:dyDescent="0.3">
      <c r="O445" s="1"/>
    </row>
    <row r="446" spans="15:15" ht="20.100000000000001" customHeight="1" x14ac:dyDescent="0.3">
      <c r="O446" s="1"/>
    </row>
    <row r="447" spans="15:15" ht="20.100000000000001" customHeight="1" x14ac:dyDescent="0.3">
      <c r="O447" s="1"/>
    </row>
    <row r="448" spans="15:15" ht="20.100000000000001" customHeight="1" x14ac:dyDescent="0.3">
      <c r="O448" s="1"/>
    </row>
    <row r="449" spans="15:15" ht="20.100000000000001" customHeight="1" x14ac:dyDescent="0.3">
      <c r="O449" s="1"/>
    </row>
    <row r="450" spans="15:15" ht="20.100000000000001" customHeight="1" x14ac:dyDescent="0.3">
      <c r="O450" s="1"/>
    </row>
    <row r="451" spans="15:15" ht="20.100000000000001" customHeight="1" x14ac:dyDescent="0.3">
      <c r="O451" s="1"/>
    </row>
    <row r="452" spans="15:15" ht="20.100000000000001" customHeight="1" x14ac:dyDescent="0.3">
      <c r="O452" s="1"/>
    </row>
    <row r="453" spans="15:15" ht="20.100000000000001" customHeight="1" x14ac:dyDescent="0.3">
      <c r="O453" s="1"/>
    </row>
    <row r="454" spans="15:15" ht="20.100000000000001" customHeight="1" x14ac:dyDescent="0.3">
      <c r="O454" s="1"/>
    </row>
    <row r="455" spans="15:15" ht="20.100000000000001" customHeight="1" x14ac:dyDescent="0.3">
      <c r="O455" s="1"/>
    </row>
    <row r="456" spans="15:15" ht="20.100000000000001" customHeight="1" x14ac:dyDescent="0.3">
      <c r="O456" s="1"/>
    </row>
    <row r="457" spans="15:15" ht="20.100000000000001" customHeight="1" x14ac:dyDescent="0.3">
      <c r="O457" s="1"/>
    </row>
    <row r="458" spans="15:15" ht="20.100000000000001" customHeight="1" x14ac:dyDescent="0.3">
      <c r="O458" s="1"/>
    </row>
    <row r="459" spans="15:15" ht="20.100000000000001" customHeight="1" x14ac:dyDescent="0.3">
      <c r="O459" s="1"/>
    </row>
    <row r="460" spans="15:15" ht="20.100000000000001" customHeight="1" x14ac:dyDescent="0.3">
      <c r="O460" s="1"/>
    </row>
    <row r="461" spans="15:15" ht="20.100000000000001" customHeight="1" x14ac:dyDescent="0.3">
      <c r="O461" s="1"/>
    </row>
    <row r="462" spans="15:15" ht="20.100000000000001" customHeight="1" x14ac:dyDescent="0.3">
      <c r="O462" s="1"/>
    </row>
    <row r="463" spans="15:15" ht="20.100000000000001" customHeight="1" x14ac:dyDescent="0.3">
      <c r="O463" s="1"/>
    </row>
    <row r="464" spans="15:15" ht="20.100000000000001" customHeight="1" x14ac:dyDescent="0.3">
      <c r="O464" s="1"/>
    </row>
    <row r="465" spans="15:15" ht="20.100000000000001" customHeight="1" x14ac:dyDescent="0.3">
      <c r="O465" s="1"/>
    </row>
    <row r="466" spans="15:15" ht="20.100000000000001" customHeight="1" x14ac:dyDescent="0.3">
      <c r="O466" s="1"/>
    </row>
    <row r="467" spans="15:15" ht="20.100000000000001" customHeight="1" x14ac:dyDescent="0.3">
      <c r="O467" s="1"/>
    </row>
    <row r="468" spans="15:15" ht="20.100000000000001" customHeight="1" x14ac:dyDescent="0.3">
      <c r="O468" s="1"/>
    </row>
    <row r="469" spans="15:15" ht="20.100000000000001" customHeight="1" x14ac:dyDescent="0.3">
      <c r="O469" s="1"/>
    </row>
    <row r="470" spans="15:15" ht="20.100000000000001" customHeight="1" x14ac:dyDescent="0.3">
      <c r="O470" s="1"/>
    </row>
    <row r="471" spans="15:15" ht="20.100000000000001" customHeight="1" x14ac:dyDescent="0.3">
      <c r="O471" s="1"/>
    </row>
    <row r="472" spans="15:15" ht="20.100000000000001" customHeight="1" x14ac:dyDescent="0.3">
      <c r="O472" s="1"/>
    </row>
    <row r="473" spans="15:15" ht="20.100000000000001" customHeight="1" x14ac:dyDescent="0.3">
      <c r="O473" s="1"/>
    </row>
    <row r="474" spans="15:15" ht="20.100000000000001" customHeight="1" x14ac:dyDescent="0.3">
      <c r="O474" s="1"/>
    </row>
    <row r="475" spans="15:15" ht="20.100000000000001" customHeight="1" x14ac:dyDescent="0.3">
      <c r="O475" s="1"/>
    </row>
    <row r="476" spans="15:15" ht="20.100000000000001" customHeight="1" x14ac:dyDescent="0.3">
      <c r="O476" s="1"/>
    </row>
    <row r="477" spans="15:15" ht="20.100000000000001" customHeight="1" x14ac:dyDescent="0.3">
      <c r="O477" s="1"/>
    </row>
    <row r="478" spans="15:15" ht="20.100000000000001" customHeight="1" x14ac:dyDescent="0.3">
      <c r="O478" s="1"/>
    </row>
    <row r="479" spans="15:15" ht="20.100000000000001" customHeight="1" x14ac:dyDescent="0.3">
      <c r="O479" s="1"/>
    </row>
    <row r="480" spans="15:15" ht="20.100000000000001" customHeight="1" x14ac:dyDescent="0.3">
      <c r="O480" s="1"/>
    </row>
    <row r="481" spans="15:15" ht="20.100000000000001" customHeight="1" x14ac:dyDescent="0.3">
      <c r="O481" s="1"/>
    </row>
    <row r="482" spans="15:15" ht="20.100000000000001" customHeight="1" x14ac:dyDescent="0.3">
      <c r="O482" s="1"/>
    </row>
    <row r="483" spans="15:15" ht="20.100000000000001" customHeight="1" x14ac:dyDescent="0.3">
      <c r="O483" s="1"/>
    </row>
    <row r="484" spans="15:15" ht="20.100000000000001" customHeight="1" x14ac:dyDescent="0.3">
      <c r="O484" s="1"/>
    </row>
    <row r="485" spans="15:15" ht="20.100000000000001" customHeight="1" x14ac:dyDescent="0.3">
      <c r="O485" s="1"/>
    </row>
    <row r="486" spans="15:15" ht="20.100000000000001" customHeight="1" x14ac:dyDescent="0.3">
      <c r="O486" s="1"/>
    </row>
    <row r="487" spans="15:15" ht="20.100000000000001" customHeight="1" x14ac:dyDescent="0.3">
      <c r="O487" s="1"/>
    </row>
    <row r="488" spans="15:15" ht="20.100000000000001" customHeight="1" x14ac:dyDescent="0.3">
      <c r="O488" s="1"/>
    </row>
    <row r="489" spans="15:15" ht="20.100000000000001" customHeight="1" x14ac:dyDescent="0.3">
      <c r="O489" s="1"/>
    </row>
    <row r="490" spans="15:15" ht="20.100000000000001" customHeight="1" x14ac:dyDescent="0.3">
      <c r="O490" s="1"/>
    </row>
    <row r="491" spans="15:15" ht="20.100000000000001" customHeight="1" x14ac:dyDescent="0.3">
      <c r="O491" s="1"/>
    </row>
    <row r="492" spans="15:15" ht="20.100000000000001" customHeight="1" x14ac:dyDescent="0.3">
      <c r="O492" s="1"/>
    </row>
    <row r="493" spans="15:15" ht="20.100000000000001" customHeight="1" x14ac:dyDescent="0.3">
      <c r="O493" s="1"/>
    </row>
    <row r="494" spans="15:15" ht="20.100000000000001" customHeight="1" x14ac:dyDescent="0.3">
      <c r="O494" s="1"/>
    </row>
    <row r="495" spans="15:15" ht="20.100000000000001" customHeight="1" x14ac:dyDescent="0.3">
      <c r="O495" s="1"/>
    </row>
    <row r="496" spans="15:15" ht="20.100000000000001" customHeight="1" x14ac:dyDescent="0.3">
      <c r="O496" s="1"/>
    </row>
    <row r="497" spans="15:15" ht="20.100000000000001" customHeight="1" x14ac:dyDescent="0.3">
      <c r="O497" s="1"/>
    </row>
    <row r="498" spans="15:15" ht="20.100000000000001" customHeight="1" x14ac:dyDescent="0.3">
      <c r="O498" s="1"/>
    </row>
    <row r="499" spans="15:15" ht="20.100000000000001" customHeight="1" x14ac:dyDescent="0.3">
      <c r="O499" s="1"/>
    </row>
    <row r="500" spans="15:15" ht="20.100000000000001" customHeight="1" x14ac:dyDescent="0.3">
      <c r="O500" s="1"/>
    </row>
    <row r="501" spans="15:15" ht="20.100000000000001" customHeight="1" x14ac:dyDescent="0.3">
      <c r="O501" s="1"/>
    </row>
    <row r="502" spans="15:15" ht="20.100000000000001" customHeight="1" x14ac:dyDescent="0.3">
      <c r="O502" s="1"/>
    </row>
    <row r="503" spans="15:15" ht="20.100000000000001" customHeight="1" x14ac:dyDescent="0.3">
      <c r="O503" s="1"/>
    </row>
    <row r="504" spans="15:15" ht="20.100000000000001" customHeight="1" x14ac:dyDescent="0.3">
      <c r="O504" s="1"/>
    </row>
    <row r="505" spans="15:15" ht="20.100000000000001" customHeight="1" x14ac:dyDescent="0.3">
      <c r="O505" s="1"/>
    </row>
    <row r="506" spans="15:15" ht="20.100000000000001" customHeight="1" x14ac:dyDescent="0.3">
      <c r="O506" s="1"/>
    </row>
    <row r="507" spans="15:15" ht="20.100000000000001" customHeight="1" x14ac:dyDescent="0.3">
      <c r="O507" s="1"/>
    </row>
    <row r="508" spans="15:15" ht="20.100000000000001" customHeight="1" x14ac:dyDescent="0.3">
      <c r="O508" s="1"/>
    </row>
    <row r="509" spans="15:15" ht="20.100000000000001" customHeight="1" x14ac:dyDescent="0.3">
      <c r="O509" s="1"/>
    </row>
    <row r="510" spans="15:15" ht="20.100000000000001" customHeight="1" x14ac:dyDescent="0.3">
      <c r="O510" s="1"/>
    </row>
    <row r="511" spans="15:15" ht="20.100000000000001" customHeight="1" x14ac:dyDescent="0.3">
      <c r="O511" s="1"/>
    </row>
    <row r="512" spans="15:15" ht="20.100000000000001" customHeight="1" x14ac:dyDescent="0.3">
      <c r="O512" s="1"/>
    </row>
    <row r="513" spans="15:15" ht="20.100000000000001" customHeight="1" x14ac:dyDescent="0.3">
      <c r="O513" s="1"/>
    </row>
    <row r="514" spans="15:15" ht="20.100000000000001" customHeight="1" x14ac:dyDescent="0.3">
      <c r="O514" s="1"/>
    </row>
    <row r="515" spans="15:15" ht="20.100000000000001" customHeight="1" x14ac:dyDescent="0.3">
      <c r="O515" s="1"/>
    </row>
    <row r="516" spans="15:15" ht="20.100000000000001" customHeight="1" x14ac:dyDescent="0.3">
      <c r="O516" s="1"/>
    </row>
    <row r="517" spans="15:15" ht="20.100000000000001" customHeight="1" x14ac:dyDescent="0.3">
      <c r="O517" s="1"/>
    </row>
    <row r="518" spans="15:15" ht="20.100000000000001" customHeight="1" x14ac:dyDescent="0.3">
      <c r="O518" s="1"/>
    </row>
    <row r="519" spans="15:15" ht="20.100000000000001" customHeight="1" x14ac:dyDescent="0.3">
      <c r="O519" s="1"/>
    </row>
    <row r="520" spans="15:15" ht="20.100000000000001" customHeight="1" x14ac:dyDescent="0.3">
      <c r="O520" s="1"/>
    </row>
    <row r="521" spans="15:15" ht="20.100000000000001" customHeight="1" x14ac:dyDescent="0.3">
      <c r="O521" s="1"/>
    </row>
    <row r="522" spans="15:15" ht="20.100000000000001" customHeight="1" x14ac:dyDescent="0.3">
      <c r="O522" s="1"/>
    </row>
    <row r="523" spans="15:15" ht="20.100000000000001" customHeight="1" x14ac:dyDescent="0.3">
      <c r="O523" s="1"/>
    </row>
    <row r="524" spans="15:15" ht="20.100000000000001" customHeight="1" x14ac:dyDescent="0.3">
      <c r="O524" s="1"/>
    </row>
    <row r="525" spans="15:15" ht="20.100000000000001" customHeight="1" x14ac:dyDescent="0.3">
      <c r="O525" s="1"/>
    </row>
    <row r="526" spans="15:15" ht="20.100000000000001" customHeight="1" x14ac:dyDescent="0.3">
      <c r="O526" s="1"/>
    </row>
    <row r="527" spans="15:15" ht="20.100000000000001" customHeight="1" x14ac:dyDescent="0.3">
      <c r="O527" s="1"/>
    </row>
    <row r="528" spans="15:15" ht="20.100000000000001" customHeight="1" x14ac:dyDescent="0.3">
      <c r="O528" s="1"/>
    </row>
    <row r="529" spans="15:15" ht="20.100000000000001" customHeight="1" x14ac:dyDescent="0.3">
      <c r="O529" s="1"/>
    </row>
    <row r="530" spans="15:15" ht="20.100000000000001" customHeight="1" x14ac:dyDescent="0.3">
      <c r="O530" s="1"/>
    </row>
    <row r="531" spans="15:15" ht="20.100000000000001" customHeight="1" x14ac:dyDescent="0.3">
      <c r="O531" s="1"/>
    </row>
    <row r="532" spans="15:15" ht="20.100000000000001" customHeight="1" x14ac:dyDescent="0.3">
      <c r="O532" s="1"/>
    </row>
    <row r="533" spans="15:15" ht="20.100000000000001" customHeight="1" x14ac:dyDescent="0.3">
      <c r="O533" s="1"/>
    </row>
    <row r="534" spans="15:15" ht="20.100000000000001" customHeight="1" x14ac:dyDescent="0.3">
      <c r="O534" s="1"/>
    </row>
    <row r="535" spans="15:15" ht="20.100000000000001" customHeight="1" x14ac:dyDescent="0.3">
      <c r="O535" s="1"/>
    </row>
    <row r="536" spans="15:15" ht="20.100000000000001" customHeight="1" x14ac:dyDescent="0.3">
      <c r="O536" s="1"/>
    </row>
    <row r="537" spans="15:15" ht="20.100000000000001" customHeight="1" x14ac:dyDescent="0.3">
      <c r="O537" s="1"/>
    </row>
    <row r="538" spans="15:15" ht="20.100000000000001" customHeight="1" x14ac:dyDescent="0.3">
      <c r="O538" s="1"/>
    </row>
    <row r="539" spans="15:15" ht="20.100000000000001" customHeight="1" x14ac:dyDescent="0.3">
      <c r="O539" s="1"/>
    </row>
    <row r="540" spans="15:15" ht="20.100000000000001" customHeight="1" x14ac:dyDescent="0.3">
      <c r="O540" s="1"/>
    </row>
    <row r="541" spans="15:15" ht="20.100000000000001" customHeight="1" x14ac:dyDescent="0.3">
      <c r="O541" s="1"/>
    </row>
    <row r="542" spans="15:15" ht="20.100000000000001" customHeight="1" x14ac:dyDescent="0.3">
      <c r="O542" s="1"/>
    </row>
    <row r="543" spans="15:15" ht="20.100000000000001" customHeight="1" x14ac:dyDescent="0.3">
      <c r="O543" s="1"/>
    </row>
    <row r="544" spans="15:15" ht="20.100000000000001" customHeight="1" x14ac:dyDescent="0.3">
      <c r="O544" s="1"/>
    </row>
    <row r="545" spans="15:15" ht="20.100000000000001" customHeight="1" x14ac:dyDescent="0.3">
      <c r="O545" s="1"/>
    </row>
    <row r="546" spans="15:15" ht="20.100000000000001" customHeight="1" x14ac:dyDescent="0.3">
      <c r="O546" s="1"/>
    </row>
    <row r="547" spans="15:15" ht="20.100000000000001" customHeight="1" x14ac:dyDescent="0.3">
      <c r="O547" s="1"/>
    </row>
    <row r="548" spans="15:15" ht="20.100000000000001" customHeight="1" x14ac:dyDescent="0.3">
      <c r="O548" s="1"/>
    </row>
    <row r="549" spans="15:15" ht="20.100000000000001" customHeight="1" x14ac:dyDescent="0.3">
      <c r="O549" s="1"/>
    </row>
    <row r="550" spans="15:15" ht="20.100000000000001" customHeight="1" x14ac:dyDescent="0.3">
      <c r="O550" s="1"/>
    </row>
    <row r="551" spans="15:15" ht="20.100000000000001" customHeight="1" x14ac:dyDescent="0.3">
      <c r="O551" s="1"/>
    </row>
    <row r="552" spans="15:15" ht="20.100000000000001" customHeight="1" x14ac:dyDescent="0.3">
      <c r="O552" s="1"/>
    </row>
    <row r="553" spans="15:15" ht="20.100000000000001" customHeight="1" x14ac:dyDescent="0.3">
      <c r="O553" s="1"/>
    </row>
    <row r="554" spans="15:15" ht="20.100000000000001" customHeight="1" x14ac:dyDescent="0.3">
      <c r="O554" s="1"/>
    </row>
    <row r="555" spans="15:15" ht="20.100000000000001" customHeight="1" x14ac:dyDescent="0.3">
      <c r="O555" s="1"/>
    </row>
    <row r="556" spans="15:15" ht="20.100000000000001" customHeight="1" x14ac:dyDescent="0.3">
      <c r="O556" s="1"/>
    </row>
    <row r="557" spans="15:15" ht="20.100000000000001" customHeight="1" x14ac:dyDescent="0.3">
      <c r="O557" s="1"/>
    </row>
    <row r="558" spans="15:15" ht="20.100000000000001" customHeight="1" x14ac:dyDescent="0.3">
      <c r="O558" s="1"/>
    </row>
    <row r="559" spans="15:15" ht="20.100000000000001" customHeight="1" x14ac:dyDescent="0.3">
      <c r="O559" s="1"/>
    </row>
    <row r="560" spans="15:15" ht="20.100000000000001" customHeight="1" x14ac:dyDescent="0.3">
      <c r="O560" s="1"/>
    </row>
    <row r="561" spans="15:15" ht="20.100000000000001" customHeight="1" x14ac:dyDescent="0.3">
      <c r="O561" s="1"/>
    </row>
    <row r="562" spans="15:15" ht="20.100000000000001" customHeight="1" x14ac:dyDescent="0.3">
      <c r="O562" s="1"/>
    </row>
    <row r="563" spans="15:15" ht="20.100000000000001" customHeight="1" x14ac:dyDescent="0.3">
      <c r="O563" s="1"/>
    </row>
    <row r="564" spans="15:15" ht="20.100000000000001" customHeight="1" x14ac:dyDescent="0.3">
      <c r="O564" s="1"/>
    </row>
    <row r="565" spans="15:15" ht="20.100000000000001" customHeight="1" x14ac:dyDescent="0.3">
      <c r="O565" s="1"/>
    </row>
    <row r="566" spans="15:15" ht="20.100000000000001" customHeight="1" x14ac:dyDescent="0.3">
      <c r="O566" s="1"/>
    </row>
    <row r="567" spans="15:15" ht="20.100000000000001" customHeight="1" x14ac:dyDescent="0.3">
      <c r="O567" s="1"/>
    </row>
    <row r="568" spans="15:15" ht="20.100000000000001" customHeight="1" x14ac:dyDescent="0.3">
      <c r="O568" s="1"/>
    </row>
    <row r="569" spans="15:15" ht="20.100000000000001" customHeight="1" x14ac:dyDescent="0.3">
      <c r="O569" s="1"/>
    </row>
    <row r="570" spans="15:15" ht="20.100000000000001" customHeight="1" x14ac:dyDescent="0.3">
      <c r="O570" s="1"/>
    </row>
    <row r="571" spans="15:15" ht="20.100000000000001" customHeight="1" x14ac:dyDescent="0.3">
      <c r="O571" s="1"/>
    </row>
    <row r="572" spans="15:15" ht="20.100000000000001" customHeight="1" x14ac:dyDescent="0.3">
      <c r="O572" s="1"/>
    </row>
    <row r="573" spans="15:15" ht="20.100000000000001" customHeight="1" x14ac:dyDescent="0.3">
      <c r="O573" s="1"/>
    </row>
    <row r="574" spans="15:15" ht="20.100000000000001" customHeight="1" x14ac:dyDescent="0.3">
      <c r="O574" s="1"/>
    </row>
    <row r="575" spans="15:15" ht="20.100000000000001" customHeight="1" x14ac:dyDescent="0.3">
      <c r="O575" s="1"/>
    </row>
    <row r="576" spans="15:15" ht="20.100000000000001" customHeight="1" x14ac:dyDescent="0.3">
      <c r="O576" s="1"/>
    </row>
    <row r="577" spans="15:15" ht="20.100000000000001" customHeight="1" x14ac:dyDescent="0.3">
      <c r="O577" s="1"/>
    </row>
    <row r="578" spans="15:15" ht="20.100000000000001" customHeight="1" x14ac:dyDescent="0.3">
      <c r="O578" s="1"/>
    </row>
    <row r="579" spans="15:15" ht="20.100000000000001" customHeight="1" x14ac:dyDescent="0.3">
      <c r="O579" s="1"/>
    </row>
    <row r="580" spans="15:15" ht="20.100000000000001" customHeight="1" x14ac:dyDescent="0.3">
      <c r="O580" s="1"/>
    </row>
    <row r="581" spans="15:15" ht="20.100000000000001" customHeight="1" x14ac:dyDescent="0.3">
      <c r="O581" s="1"/>
    </row>
    <row r="582" spans="15:15" ht="20.100000000000001" customHeight="1" x14ac:dyDescent="0.3">
      <c r="O582" s="1"/>
    </row>
    <row r="583" spans="15:15" ht="20.100000000000001" customHeight="1" x14ac:dyDescent="0.3">
      <c r="O583" s="1"/>
    </row>
    <row r="584" spans="15:15" ht="20.100000000000001" customHeight="1" x14ac:dyDescent="0.3">
      <c r="O584" s="1"/>
    </row>
    <row r="585" spans="15:15" ht="20.100000000000001" customHeight="1" x14ac:dyDescent="0.3">
      <c r="O585" s="1"/>
    </row>
    <row r="586" spans="15:15" ht="20.100000000000001" customHeight="1" x14ac:dyDescent="0.3">
      <c r="O586" s="1"/>
    </row>
    <row r="587" spans="15:15" ht="20.100000000000001" customHeight="1" x14ac:dyDescent="0.3">
      <c r="O587" s="1"/>
    </row>
    <row r="588" spans="15:15" ht="20.100000000000001" customHeight="1" x14ac:dyDescent="0.3">
      <c r="O588" s="1"/>
    </row>
    <row r="589" spans="15:15" ht="20.100000000000001" customHeight="1" x14ac:dyDescent="0.3">
      <c r="O589" s="1"/>
    </row>
    <row r="590" spans="15:15" ht="20.100000000000001" customHeight="1" x14ac:dyDescent="0.3">
      <c r="O590" s="1"/>
    </row>
    <row r="591" spans="15:15" ht="20.100000000000001" customHeight="1" x14ac:dyDescent="0.3">
      <c r="O591" s="1"/>
    </row>
    <row r="592" spans="15:15" ht="20.100000000000001" customHeight="1" x14ac:dyDescent="0.3">
      <c r="O592" s="1"/>
    </row>
    <row r="593" spans="15:15" ht="20.100000000000001" customHeight="1" x14ac:dyDescent="0.3">
      <c r="O593" s="1"/>
    </row>
    <row r="594" spans="15:15" ht="20.100000000000001" customHeight="1" x14ac:dyDescent="0.3">
      <c r="O594" s="1"/>
    </row>
    <row r="595" spans="15:15" ht="20.100000000000001" customHeight="1" x14ac:dyDescent="0.3">
      <c r="O595" s="1"/>
    </row>
    <row r="596" spans="15:15" ht="20.100000000000001" customHeight="1" x14ac:dyDescent="0.3">
      <c r="O596" s="1"/>
    </row>
    <row r="597" spans="15:15" ht="20.100000000000001" customHeight="1" x14ac:dyDescent="0.3">
      <c r="O597" s="1"/>
    </row>
    <row r="598" spans="15:15" ht="20.100000000000001" customHeight="1" x14ac:dyDescent="0.3">
      <c r="O598" s="1"/>
    </row>
    <row r="599" spans="15:15" ht="20.100000000000001" customHeight="1" x14ac:dyDescent="0.3">
      <c r="O599" s="1"/>
    </row>
    <row r="600" spans="15:15" ht="20.100000000000001" customHeight="1" x14ac:dyDescent="0.3">
      <c r="O600" s="1"/>
    </row>
    <row r="601" spans="15:15" ht="20.100000000000001" customHeight="1" x14ac:dyDescent="0.3">
      <c r="O601" s="1"/>
    </row>
    <row r="602" spans="15:15" ht="20.100000000000001" customHeight="1" x14ac:dyDescent="0.3">
      <c r="O602" s="1"/>
    </row>
    <row r="603" spans="15:15" ht="20.100000000000001" customHeight="1" x14ac:dyDescent="0.3">
      <c r="O603" s="1"/>
    </row>
    <row r="604" spans="15:15" ht="20.100000000000001" customHeight="1" x14ac:dyDescent="0.3">
      <c r="O604" s="1"/>
    </row>
    <row r="605" spans="15:15" ht="20.100000000000001" customHeight="1" x14ac:dyDescent="0.3">
      <c r="O605" s="1"/>
    </row>
    <row r="606" spans="15:15" ht="20.100000000000001" customHeight="1" x14ac:dyDescent="0.3">
      <c r="O606" s="1"/>
    </row>
    <row r="607" spans="15:15" ht="20.100000000000001" customHeight="1" x14ac:dyDescent="0.3">
      <c r="O607" s="1"/>
    </row>
    <row r="608" spans="15:15" ht="20.100000000000001" customHeight="1" x14ac:dyDescent="0.3">
      <c r="O608" s="1"/>
    </row>
    <row r="609" spans="15:15" ht="20.100000000000001" customHeight="1" x14ac:dyDescent="0.3">
      <c r="O609" s="1"/>
    </row>
    <row r="610" spans="15:15" ht="20.100000000000001" customHeight="1" x14ac:dyDescent="0.3">
      <c r="O610" s="1"/>
    </row>
    <row r="611" spans="15:15" ht="20.100000000000001" customHeight="1" x14ac:dyDescent="0.3">
      <c r="O611" s="1"/>
    </row>
    <row r="612" spans="15:15" ht="20.100000000000001" customHeight="1" x14ac:dyDescent="0.3">
      <c r="O612" s="1"/>
    </row>
    <row r="613" spans="15:15" ht="20.100000000000001" customHeight="1" x14ac:dyDescent="0.3">
      <c r="O613" s="1"/>
    </row>
    <row r="614" spans="15:15" ht="20.100000000000001" customHeight="1" x14ac:dyDescent="0.3">
      <c r="O614" s="1"/>
    </row>
    <row r="615" spans="15:15" ht="20.100000000000001" customHeight="1" x14ac:dyDescent="0.3">
      <c r="O615" s="1"/>
    </row>
    <row r="616" spans="15:15" ht="20.100000000000001" customHeight="1" x14ac:dyDescent="0.3">
      <c r="O616" s="1"/>
    </row>
    <row r="617" spans="15:15" ht="20.100000000000001" customHeight="1" x14ac:dyDescent="0.3">
      <c r="O617" s="1"/>
    </row>
    <row r="618" spans="15:15" ht="20.100000000000001" customHeight="1" x14ac:dyDescent="0.3">
      <c r="O618" s="1"/>
    </row>
    <row r="619" spans="15:15" ht="20.100000000000001" customHeight="1" x14ac:dyDescent="0.3">
      <c r="O619" s="1"/>
    </row>
    <row r="620" spans="15:15" ht="20.100000000000001" customHeight="1" x14ac:dyDescent="0.3">
      <c r="O620" s="1"/>
    </row>
    <row r="621" spans="15:15" ht="20.100000000000001" customHeight="1" x14ac:dyDescent="0.3">
      <c r="O621" s="1"/>
    </row>
    <row r="622" spans="15:15" ht="20.100000000000001" customHeight="1" x14ac:dyDescent="0.3">
      <c r="O622" s="1"/>
    </row>
    <row r="623" spans="15:15" ht="20.100000000000001" customHeight="1" x14ac:dyDescent="0.3">
      <c r="O623" s="1"/>
    </row>
    <row r="624" spans="15:15" ht="20.100000000000001" customHeight="1" x14ac:dyDescent="0.3">
      <c r="O624" s="1"/>
    </row>
    <row r="625" spans="15:15" ht="20.100000000000001" customHeight="1" x14ac:dyDescent="0.3">
      <c r="O625" s="1"/>
    </row>
    <row r="626" spans="15:15" ht="20.100000000000001" customHeight="1" x14ac:dyDescent="0.3">
      <c r="O626" s="1"/>
    </row>
    <row r="627" spans="15:15" ht="20.100000000000001" customHeight="1" x14ac:dyDescent="0.3">
      <c r="O627" s="1"/>
    </row>
    <row r="628" spans="15:15" ht="20.100000000000001" customHeight="1" x14ac:dyDescent="0.3">
      <c r="O628" s="1"/>
    </row>
    <row r="629" spans="15:15" ht="20.100000000000001" customHeight="1" x14ac:dyDescent="0.3">
      <c r="O629" s="1"/>
    </row>
    <row r="630" spans="15:15" ht="20.100000000000001" customHeight="1" x14ac:dyDescent="0.3">
      <c r="O630" s="1"/>
    </row>
    <row r="631" spans="15:15" ht="20.100000000000001" customHeight="1" x14ac:dyDescent="0.3">
      <c r="O631" s="1"/>
    </row>
    <row r="632" spans="15:15" ht="20.100000000000001" customHeight="1" x14ac:dyDescent="0.3">
      <c r="O632" s="1"/>
    </row>
    <row r="633" spans="15:15" ht="20.100000000000001" customHeight="1" x14ac:dyDescent="0.3">
      <c r="O633" s="1"/>
    </row>
    <row r="634" spans="15:15" ht="20.100000000000001" customHeight="1" x14ac:dyDescent="0.3">
      <c r="O634" s="1"/>
    </row>
    <row r="635" spans="15:15" ht="20.100000000000001" customHeight="1" x14ac:dyDescent="0.3">
      <c r="O635" s="1"/>
    </row>
    <row r="636" spans="15:15" ht="20.100000000000001" customHeight="1" x14ac:dyDescent="0.3">
      <c r="O636" s="1"/>
    </row>
    <row r="637" spans="15:15" ht="20.100000000000001" customHeight="1" x14ac:dyDescent="0.3">
      <c r="O637" s="1"/>
    </row>
    <row r="638" spans="15:15" ht="20.100000000000001" customHeight="1" x14ac:dyDescent="0.3">
      <c r="O638" s="1"/>
    </row>
    <row r="639" spans="15:15" ht="20.100000000000001" customHeight="1" x14ac:dyDescent="0.3">
      <c r="O639" s="1"/>
    </row>
    <row r="640" spans="15:15" ht="20.100000000000001" customHeight="1" x14ac:dyDescent="0.3">
      <c r="O640" s="1"/>
    </row>
    <row r="641" spans="15:15" ht="20.100000000000001" customHeight="1" x14ac:dyDescent="0.3">
      <c r="O641" s="1"/>
    </row>
    <row r="642" spans="15:15" ht="20.100000000000001" customHeight="1" x14ac:dyDescent="0.3">
      <c r="O642" s="1"/>
    </row>
    <row r="643" spans="15:15" ht="20.100000000000001" customHeight="1" x14ac:dyDescent="0.3">
      <c r="O643" s="1"/>
    </row>
    <row r="644" spans="15:15" ht="20.100000000000001" customHeight="1" x14ac:dyDescent="0.3">
      <c r="O644" s="1"/>
    </row>
    <row r="645" spans="15:15" ht="20.100000000000001" customHeight="1" x14ac:dyDescent="0.3">
      <c r="O645" s="1"/>
    </row>
    <row r="646" spans="15:15" ht="20.100000000000001" customHeight="1" x14ac:dyDescent="0.3">
      <c r="O646" s="1"/>
    </row>
    <row r="647" spans="15:15" ht="20.100000000000001" customHeight="1" x14ac:dyDescent="0.3">
      <c r="O647" s="1"/>
    </row>
    <row r="648" spans="15:15" ht="20.100000000000001" customHeight="1" x14ac:dyDescent="0.3">
      <c r="O648" s="1"/>
    </row>
    <row r="649" spans="15:15" ht="20.100000000000001" customHeight="1" x14ac:dyDescent="0.3">
      <c r="O649" s="1"/>
    </row>
    <row r="650" spans="15:15" ht="20.100000000000001" customHeight="1" x14ac:dyDescent="0.3">
      <c r="O650" s="1"/>
    </row>
    <row r="651" spans="15:15" ht="20.100000000000001" customHeight="1" x14ac:dyDescent="0.3">
      <c r="O651" s="1"/>
    </row>
    <row r="652" spans="15:15" ht="20.100000000000001" customHeight="1" x14ac:dyDescent="0.3">
      <c r="O652" s="1"/>
    </row>
    <row r="653" spans="15:15" ht="20.100000000000001" customHeight="1" x14ac:dyDescent="0.3">
      <c r="O653" s="1"/>
    </row>
    <row r="654" spans="15:15" ht="20.100000000000001" customHeight="1" x14ac:dyDescent="0.3">
      <c r="O654" s="1"/>
    </row>
    <row r="655" spans="15:15" ht="20.100000000000001" customHeight="1" x14ac:dyDescent="0.3">
      <c r="O655" s="1"/>
    </row>
    <row r="656" spans="15:15" ht="20.100000000000001" customHeight="1" x14ac:dyDescent="0.3">
      <c r="O656" s="1"/>
    </row>
    <row r="657" spans="15:15" ht="20.100000000000001" customHeight="1" x14ac:dyDescent="0.3">
      <c r="O657" s="1"/>
    </row>
    <row r="658" spans="15:15" ht="20.100000000000001" customHeight="1" x14ac:dyDescent="0.3">
      <c r="O658" s="1"/>
    </row>
    <row r="659" spans="15:15" ht="20.100000000000001" customHeight="1" x14ac:dyDescent="0.3">
      <c r="O659" s="1"/>
    </row>
    <row r="660" spans="15:15" ht="20.100000000000001" customHeight="1" x14ac:dyDescent="0.3">
      <c r="O660" s="1"/>
    </row>
    <row r="661" spans="15:15" ht="20.100000000000001" customHeight="1" x14ac:dyDescent="0.3">
      <c r="O661" s="1"/>
    </row>
    <row r="662" spans="15:15" ht="20.100000000000001" customHeight="1" x14ac:dyDescent="0.3">
      <c r="O662" s="1"/>
    </row>
    <row r="663" spans="15:15" ht="20.100000000000001" customHeight="1" x14ac:dyDescent="0.3">
      <c r="O663" s="1"/>
    </row>
    <row r="664" spans="15:15" ht="20.100000000000001" customHeight="1" x14ac:dyDescent="0.3">
      <c r="O664" s="1"/>
    </row>
    <row r="665" spans="15:15" ht="20.100000000000001" customHeight="1" x14ac:dyDescent="0.3">
      <c r="O665" s="1"/>
    </row>
    <row r="666" spans="15:15" ht="20.100000000000001" customHeight="1" x14ac:dyDescent="0.3">
      <c r="O666" s="1"/>
    </row>
    <row r="667" spans="15:15" ht="20.100000000000001" customHeight="1" x14ac:dyDescent="0.3">
      <c r="O667" s="1"/>
    </row>
    <row r="668" spans="15:15" ht="20.100000000000001" customHeight="1" x14ac:dyDescent="0.3">
      <c r="O668" s="1"/>
    </row>
    <row r="669" spans="15:15" ht="20.100000000000001" customHeight="1" x14ac:dyDescent="0.3">
      <c r="O669" s="1"/>
    </row>
    <row r="670" spans="15:15" ht="20.100000000000001" customHeight="1" x14ac:dyDescent="0.3">
      <c r="O670" s="1"/>
    </row>
    <row r="671" spans="15:15" ht="20.100000000000001" customHeight="1" x14ac:dyDescent="0.3">
      <c r="O671" s="1"/>
    </row>
    <row r="672" spans="15:15" ht="20.100000000000001" customHeight="1" x14ac:dyDescent="0.3">
      <c r="O672" s="1"/>
    </row>
    <row r="673" spans="15:15" ht="20.100000000000001" customHeight="1" x14ac:dyDescent="0.3">
      <c r="O673" s="1"/>
    </row>
    <row r="674" spans="15:15" ht="20.100000000000001" customHeight="1" x14ac:dyDescent="0.3">
      <c r="O674" s="1"/>
    </row>
    <row r="675" spans="15:15" ht="20.100000000000001" customHeight="1" x14ac:dyDescent="0.3">
      <c r="O675" s="1"/>
    </row>
    <row r="676" spans="15:15" ht="20.100000000000001" customHeight="1" x14ac:dyDescent="0.3">
      <c r="O676" s="1"/>
    </row>
    <row r="677" spans="15:15" ht="20.100000000000001" customHeight="1" x14ac:dyDescent="0.3">
      <c r="O677" s="1"/>
    </row>
    <row r="678" spans="15:15" ht="20.100000000000001" customHeight="1" x14ac:dyDescent="0.3">
      <c r="O678" s="1"/>
    </row>
    <row r="679" spans="15:15" ht="20.100000000000001" customHeight="1" x14ac:dyDescent="0.3">
      <c r="O679" s="1"/>
    </row>
    <row r="680" spans="15:15" ht="20.100000000000001" customHeight="1" x14ac:dyDescent="0.3">
      <c r="O680" s="1"/>
    </row>
    <row r="681" spans="15:15" ht="20.100000000000001" customHeight="1" x14ac:dyDescent="0.3">
      <c r="O681" s="1"/>
    </row>
    <row r="682" spans="15:15" ht="20.100000000000001" customHeight="1" x14ac:dyDescent="0.3">
      <c r="O682" s="1"/>
    </row>
    <row r="683" spans="15:15" ht="20.100000000000001" customHeight="1" x14ac:dyDescent="0.3">
      <c r="O683" s="1"/>
    </row>
    <row r="684" spans="15:15" ht="20.100000000000001" customHeight="1" x14ac:dyDescent="0.3">
      <c r="O684" s="1"/>
    </row>
    <row r="685" spans="15:15" ht="20.100000000000001" customHeight="1" x14ac:dyDescent="0.3">
      <c r="O685" s="1"/>
    </row>
    <row r="686" spans="15:15" ht="20.100000000000001" customHeight="1" x14ac:dyDescent="0.3">
      <c r="O686" s="1"/>
    </row>
    <row r="687" spans="15:15" ht="20.100000000000001" customHeight="1" x14ac:dyDescent="0.3">
      <c r="O687" s="1"/>
    </row>
    <row r="688" spans="15:15" ht="20.100000000000001" customHeight="1" x14ac:dyDescent="0.3">
      <c r="O688" s="1"/>
    </row>
    <row r="689" spans="15:15" ht="20.100000000000001" customHeight="1" x14ac:dyDescent="0.3">
      <c r="O689" s="1"/>
    </row>
    <row r="690" spans="15:15" ht="20.100000000000001" customHeight="1" x14ac:dyDescent="0.3">
      <c r="O690" s="1"/>
    </row>
    <row r="691" spans="15:15" ht="20.100000000000001" customHeight="1" x14ac:dyDescent="0.3">
      <c r="O691" s="1"/>
    </row>
    <row r="692" spans="15:15" ht="20.100000000000001" customHeight="1" x14ac:dyDescent="0.3">
      <c r="O692" s="1"/>
    </row>
    <row r="693" spans="15:15" ht="20.100000000000001" customHeight="1" x14ac:dyDescent="0.3">
      <c r="O693" s="1"/>
    </row>
    <row r="694" spans="15:15" ht="20.100000000000001" customHeight="1" x14ac:dyDescent="0.3">
      <c r="O694" s="1"/>
    </row>
    <row r="695" spans="15:15" ht="20.100000000000001" customHeight="1" x14ac:dyDescent="0.3">
      <c r="O695" s="1"/>
    </row>
    <row r="696" spans="15:15" ht="20.100000000000001" customHeight="1" x14ac:dyDescent="0.3">
      <c r="O696" s="1"/>
    </row>
    <row r="697" spans="15:15" ht="20.100000000000001" customHeight="1" x14ac:dyDescent="0.3">
      <c r="O697" s="1"/>
    </row>
    <row r="698" spans="15:15" ht="20.100000000000001" customHeight="1" x14ac:dyDescent="0.3">
      <c r="O698" s="1"/>
    </row>
    <row r="699" spans="15:15" ht="20.100000000000001" customHeight="1" x14ac:dyDescent="0.3">
      <c r="O699" s="1"/>
    </row>
    <row r="700" spans="15:15" ht="20.100000000000001" customHeight="1" x14ac:dyDescent="0.3">
      <c r="O700" s="1"/>
    </row>
    <row r="701" spans="15:15" ht="20.100000000000001" customHeight="1" x14ac:dyDescent="0.3">
      <c r="O701" s="1"/>
    </row>
    <row r="702" spans="15:15" ht="20.100000000000001" customHeight="1" x14ac:dyDescent="0.3">
      <c r="O702" s="1"/>
    </row>
    <row r="703" spans="15:15" ht="20.100000000000001" customHeight="1" x14ac:dyDescent="0.3">
      <c r="O703" s="1"/>
    </row>
    <row r="704" spans="15:15" ht="20.100000000000001" customHeight="1" x14ac:dyDescent="0.3">
      <c r="O704" s="1"/>
    </row>
    <row r="705" spans="15:15" ht="20.100000000000001" customHeight="1" x14ac:dyDescent="0.3">
      <c r="O705" s="1"/>
    </row>
    <row r="706" spans="15:15" ht="20.100000000000001" customHeight="1" x14ac:dyDescent="0.3">
      <c r="O706" s="1"/>
    </row>
    <row r="707" spans="15:15" ht="20.100000000000001" customHeight="1" x14ac:dyDescent="0.3">
      <c r="O707" s="1"/>
    </row>
    <row r="708" spans="15:15" ht="20.100000000000001" customHeight="1" x14ac:dyDescent="0.3">
      <c r="O708" s="1"/>
    </row>
    <row r="709" spans="15:15" ht="20.100000000000001" customHeight="1" x14ac:dyDescent="0.3">
      <c r="O709" s="1"/>
    </row>
    <row r="710" spans="15:15" ht="20.100000000000001" customHeight="1" x14ac:dyDescent="0.3">
      <c r="O710" s="1"/>
    </row>
    <row r="711" spans="15:15" ht="20.100000000000001" customHeight="1" x14ac:dyDescent="0.3">
      <c r="O711" s="1"/>
    </row>
    <row r="712" spans="15:15" ht="20.100000000000001" customHeight="1" x14ac:dyDescent="0.3">
      <c r="O712" s="1"/>
    </row>
    <row r="713" spans="15:15" ht="20.100000000000001" customHeight="1" x14ac:dyDescent="0.3">
      <c r="O713" s="1"/>
    </row>
    <row r="714" spans="15:15" ht="20.100000000000001" customHeight="1" x14ac:dyDescent="0.3">
      <c r="O714" s="1"/>
    </row>
    <row r="715" spans="15:15" ht="20.100000000000001" customHeight="1" x14ac:dyDescent="0.3">
      <c r="O715" s="1"/>
    </row>
    <row r="716" spans="15:15" ht="20.100000000000001" customHeight="1" x14ac:dyDescent="0.3">
      <c r="O716" s="1"/>
    </row>
    <row r="717" spans="15:15" ht="20.100000000000001" customHeight="1" x14ac:dyDescent="0.3">
      <c r="O717" s="1"/>
    </row>
    <row r="718" spans="15:15" ht="20.100000000000001" customHeight="1" x14ac:dyDescent="0.3">
      <c r="O718" s="1"/>
    </row>
    <row r="719" spans="15:15" ht="20.100000000000001" customHeight="1" x14ac:dyDescent="0.3">
      <c r="O719" s="1"/>
    </row>
    <row r="720" spans="15:15" ht="20.100000000000001" customHeight="1" x14ac:dyDescent="0.3">
      <c r="O720" s="1"/>
    </row>
    <row r="721" spans="15:15" ht="20.100000000000001" customHeight="1" x14ac:dyDescent="0.3">
      <c r="O721" s="1"/>
    </row>
    <row r="722" spans="15:15" ht="20.100000000000001" customHeight="1" x14ac:dyDescent="0.3">
      <c r="O722" s="1"/>
    </row>
    <row r="723" spans="15:15" ht="20.100000000000001" customHeight="1" x14ac:dyDescent="0.3">
      <c r="O723" s="1"/>
    </row>
    <row r="724" spans="15:15" ht="20.100000000000001" customHeight="1" x14ac:dyDescent="0.3">
      <c r="O724" s="1"/>
    </row>
    <row r="725" spans="15:15" ht="20.100000000000001" customHeight="1" x14ac:dyDescent="0.3">
      <c r="O725" s="1"/>
    </row>
    <row r="726" spans="15:15" ht="20.100000000000001" customHeight="1" x14ac:dyDescent="0.3">
      <c r="O726" s="1"/>
    </row>
    <row r="727" spans="15:15" ht="20.100000000000001" customHeight="1" x14ac:dyDescent="0.3">
      <c r="O727" s="1"/>
    </row>
    <row r="728" spans="15:15" ht="20.100000000000001" customHeight="1" x14ac:dyDescent="0.3">
      <c r="O728" s="1"/>
    </row>
    <row r="729" spans="15:15" ht="20.100000000000001" customHeight="1" x14ac:dyDescent="0.3">
      <c r="O729" s="1"/>
    </row>
    <row r="730" spans="15:15" ht="20.100000000000001" customHeight="1" x14ac:dyDescent="0.3">
      <c r="O730" s="1"/>
    </row>
    <row r="731" spans="15:15" ht="20.100000000000001" customHeight="1" x14ac:dyDescent="0.3">
      <c r="O731" s="1"/>
    </row>
    <row r="732" spans="15:15" ht="20.100000000000001" customHeight="1" x14ac:dyDescent="0.3">
      <c r="O732" s="1"/>
    </row>
    <row r="733" spans="15:15" ht="20.100000000000001" customHeight="1" x14ac:dyDescent="0.3">
      <c r="O733" s="1"/>
    </row>
    <row r="734" spans="15:15" ht="20.100000000000001" customHeight="1" x14ac:dyDescent="0.3">
      <c r="O734" s="1"/>
    </row>
    <row r="735" spans="15:15" ht="20.100000000000001" customHeight="1" x14ac:dyDescent="0.3">
      <c r="O735" s="1"/>
    </row>
    <row r="736" spans="15:15" ht="20.100000000000001" customHeight="1" x14ac:dyDescent="0.3">
      <c r="O736" s="1"/>
    </row>
    <row r="737" spans="15:15" ht="20.100000000000001" customHeight="1" x14ac:dyDescent="0.3">
      <c r="O737" s="1"/>
    </row>
    <row r="738" spans="15:15" ht="20.100000000000001" customHeight="1" x14ac:dyDescent="0.3">
      <c r="O738" s="1"/>
    </row>
    <row r="739" spans="15:15" ht="20.100000000000001" customHeight="1" x14ac:dyDescent="0.3">
      <c r="O739" s="1"/>
    </row>
    <row r="740" spans="15:15" ht="20.100000000000001" customHeight="1" x14ac:dyDescent="0.3">
      <c r="O740" s="1"/>
    </row>
    <row r="741" spans="15:15" ht="20.100000000000001" customHeight="1" x14ac:dyDescent="0.3">
      <c r="O741" s="1"/>
    </row>
    <row r="742" spans="15:15" ht="20.100000000000001" customHeight="1" x14ac:dyDescent="0.3">
      <c r="O742" s="1"/>
    </row>
    <row r="743" spans="15:15" ht="20.100000000000001" customHeight="1" x14ac:dyDescent="0.3">
      <c r="O743" s="1"/>
    </row>
    <row r="744" spans="15:15" ht="20.100000000000001" customHeight="1" x14ac:dyDescent="0.3">
      <c r="O744" s="1"/>
    </row>
    <row r="745" spans="15:15" ht="20.100000000000001" customHeight="1" x14ac:dyDescent="0.3">
      <c r="O745" s="1"/>
    </row>
    <row r="746" spans="15:15" ht="20.100000000000001" customHeight="1" x14ac:dyDescent="0.3">
      <c r="O746" s="1"/>
    </row>
    <row r="747" spans="15:15" ht="20.100000000000001" customHeight="1" x14ac:dyDescent="0.3">
      <c r="O747" s="1"/>
    </row>
    <row r="748" spans="15:15" ht="20.100000000000001" customHeight="1" x14ac:dyDescent="0.3">
      <c r="O748" s="1"/>
    </row>
    <row r="749" spans="15:15" ht="20.100000000000001" customHeight="1" x14ac:dyDescent="0.3">
      <c r="O749" s="1"/>
    </row>
    <row r="750" spans="15:15" ht="20.100000000000001" customHeight="1" x14ac:dyDescent="0.3">
      <c r="O750" s="1"/>
    </row>
    <row r="751" spans="15:15" ht="20.100000000000001" customHeight="1" x14ac:dyDescent="0.3">
      <c r="O751" s="1"/>
    </row>
    <row r="752" spans="15:15" ht="20.100000000000001" customHeight="1" x14ac:dyDescent="0.3">
      <c r="O752" s="1"/>
    </row>
    <row r="753" spans="15:15" ht="20.100000000000001" customHeight="1" x14ac:dyDescent="0.3">
      <c r="O753" s="1"/>
    </row>
    <row r="754" spans="15:15" ht="20.100000000000001" customHeight="1" x14ac:dyDescent="0.3">
      <c r="O754" s="1"/>
    </row>
    <row r="755" spans="15:15" ht="20.100000000000001" customHeight="1" x14ac:dyDescent="0.3">
      <c r="O755" s="1"/>
    </row>
    <row r="756" spans="15:15" ht="20.100000000000001" customHeight="1" x14ac:dyDescent="0.3">
      <c r="O756" s="1"/>
    </row>
    <row r="757" spans="15:15" ht="20.100000000000001" customHeight="1" x14ac:dyDescent="0.3">
      <c r="O757" s="1"/>
    </row>
    <row r="758" spans="15:15" ht="20.100000000000001" customHeight="1" x14ac:dyDescent="0.3">
      <c r="O758" s="1"/>
    </row>
    <row r="759" spans="15:15" ht="20.100000000000001" customHeight="1" x14ac:dyDescent="0.3">
      <c r="O759" s="1"/>
    </row>
    <row r="760" spans="15:15" ht="20.100000000000001" customHeight="1" x14ac:dyDescent="0.3">
      <c r="O760" s="1"/>
    </row>
    <row r="761" spans="15:15" ht="20.100000000000001" customHeight="1" x14ac:dyDescent="0.3">
      <c r="O761" s="1"/>
    </row>
    <row r="762" spans="15:15" ht="20.100000000000001" customHeight="1" x14ac:dyDescent="0.3">
      <c r="O762" s="1"/>
    </row>
    <row r="763" spans="15:15" ht="20.100000000000001" customHeight="1" x14ac:dyDescent="0.3">
      <c r="O763" s="1"/>
    </row>
    <row r="764" spans="15:15" ht="20.100000000000001" customHeight="1" x14ac:dyDescent="0.3">
      <c r="O764" s="1"/>
    </row>
    <row r="765" spans="15:15" ht="20.100000000000001" customHeight="1" x14ac:dyDescent="0.3">
      <c r="O765" s="1"/>
    </row>
    <row r="766" spans="15:15" ht="20.100000000000001" customHeight="1" x14ac:dyDescent="0.3">
      <c r="O766" s="1"/>
    </row>
    <row r="767" spans="15:15" ht="20.100000000000001" customHeight="1" x14ac:dyDescent="0.3">
      <c r="O767" s="1"/>
    </row>
    <row r="768" spans="15:15" ht="20.100000000000001" customHeight="1" x14ac:dyDescent="0.3">
      <c r="O768" s="1"/>
    </row>
    <row r="769" spans="15:15" ht="20.100000000000001" customHeight="1" x14ac:dyDescent="0.3">
      <c r="O769" s="1"/>
    </row>
    <row r="770" spans="15:15" ht="20.100000000000001" customHeight="1" x14ac:dyDescent="0.3">
      <c r="O770" s="1"/>
    </row>
    <row r="771" spans="15:15" ht="20.100000000000001" customHeight="1" x14ac:dyDescent="0.3">
      <c r="O771" s="1"/>
    </row>
    <row r="772" spans="15:15" ht="20.100000000000001" customHeight="1" x14ac:dyDescent="0.3">
      <c r="O772" s="1"/>
    </row>
    <row r="773" spans="15:15" ht="20.100000000000001" customHeight="1" x14ac:dyDescent="0.3">
      <c r="O773" s="1"/>
    </row>
    <row r="774" spans="15:15" ht="20.100000000000001" customHeight="1" x14ac:dyDescent="0.3">
      <c r="O774" s="1"/>
    </row>
    <row r="775" spans="15:15" ht="20.100000000000001" customHeight="1" x14ac:dyDescent="0.3">
      <c r="O775" s="1"/>
    </row>
    <row r="776" spans="15:15" ht="20.100000000000001" customHeight="1" x14ac:dyDescent="0.3">
      <c r="O776" s="1"/>
    </row>
    <row r="777" spans="15:15" ht="20.100000000000001" customHeight="1" x14ac:dyDescent="0.3">
      <c r="O777" s="1"/>
    </row>
    <row r="778" spans="15:15" ht="20.100000000000001" customHeight="1" x14ac:dyDescent="0.3">
      <c r="O778" s="1"/>
    </row>
    <row r="779" spans="15:15" ht="20.100000000000001" customHeight="1" x14ac:dyDescent="0.3">
      <c r="O779" s="1"/>
    </row>
    <row r="780" spans="15:15" ht="20.100000000000001" customHeight="1" x14ac:dyDescent="0.3">
      <c r="O780" s="1"/>
    </row>
    <row r="781" spans="15:15" ht="20.100000000000001" customHeight="1" x14ac:dyDescent="0.3">
      <c r="O781" s="1"/>
    </row>
    <row r="782" spans="15:15" ht="20.100000000000001" customHeight="1" x14ac:dyDescent="0.3">
      <c r="O782" s="1"/>
    </row>
    <row r="783" spans="15:15" ht="20.100000000000001" customHeight="1" x14ac:dyDescent="0.3">
      <c r="O783" s="1"/>
    </row>
    <row r="784" spans="15:15" ht="20.100000000000001" customHeight="1" x14ac:dyDescent="0.3">
      <c r="O784" s="1"/>
    </row>
    <row r="785" spans="15:15" ht="20.100000000000001" customHeight="1" x14ac:dyDescent="0.3">
      <c r="O785" s="1"/>
    </row>
    <row r="786" spans="15:15" ht="20.100000000000001" customHeight="1" x14ac:dyDescent="0.3">
      <c r="O786" s="1"/>
    </row>
    <row r="787" spans="15:15" ht="20.100000000000001" customHeight="1" x14ac:dyDescent="0.3">
      <c r="O787" s="1"/>
    </row>
    <row r="788" spans="15:15" ht="20.100000000000001" customHeight="1" x14ac:dyDescent="0.3">
      <c r="O788" s="1"/>
    </row>
    <row r="789" spans="15:15" ht="20.100000000000001" customHeight="1" x14ac:dyDescent="0.3">
      <c r="O789" s="1"/>
    </row>
    <row r="790" spans="15:15" ht="20.100000000000001" customHeight="1" x14ac:dyDescent="0.3">
      <c r="O790" s="1"/>
    </row>
    <row r="791" spans="15:15" ht="20.100000000000001" customHeight="1" x14ac:dyDescent="0.3">
      <c r="O791" s="1"/>
    </row>
    <row r="792" spans="15:15" ht="20.100000000000001" customHeight="1" x14ac:dyDescent="0.3">
      <c r="O792" s="1"/>
    </row>
    <row r="793" spans="15:15" ht="20.100000000000001" customHeight="1" x14ac:dyDescent="0.3">
      <c r="O793" s="1"/>
    </row>
    <row r="794" spans="15:15" ht="20.100000000000001" customHeight="1" x14ac:dyDescent="0.3">
      <c r="O794" s="1"/>
    </row>
    <row r="795" spans="15:15" ht="20.100000000000001" customHeight="1" x14ac:dyDescent="0.3">
      <c r="O795" s="1"/>
    </row>
    <row r="796" spans="15:15" ht="20.100000000000001" customHeight="1" x14ac:dyDescent="0.3">
      <c r="O796" s="1"/>
    </row>
    <row r="797" spans="15:15" ht="20.100000000000001" customHeight="1" x14ac:dyDescent="0.3">
      <c r="O797" s="1"/>
    </row>
    <row r="798" spans="15:15" ht="20.100000000000001" customHeight="1" x14ac:dyDescent="0.3">
      <c r="O798" s="1"/>
    </row>
    <row r="799" spans="15:15" ht="20.100000000000001" customHeight="1" x14ac:dyDescent="0.3">
      <c r="O799" s="1"/>
    </row>
    <row r="800" spans="15:15" ht="20.100000000000001" customHeight="1" x14ac:dyDescent="0.3">
      <c r="O800" s="1"/>
    </row>
    <row r="801" spans="15:15" ht="20.100000000000001" customHeight="1" x14ac:dyDescent="0.3">
      <c r="O801" s="1"/>
    </row>
    <row r="802" spans="15:15" ht="20.100000000000001" customHeight="1" x14ac:dyDescent="0.3">
      <c r="O802" s="1"/>
    </row>
    <row r="803" spans="15:15" ht="20.100000000000001" customHeight="1" x14ac:dyDescent="0.3">
      <c r="O803" s="1"/>
    </row>
    <row r="804" spans="15:15" ht="20.100000000000001" customHeight="1" x14ac:dyDescent="0.3">
      <c r="O804" s="1"/>
    </row>
    <row r="805" spans="15:15" ht="20.100000000000001" customHeight="1" x14ac:dyDescent="0.3">
      <c r="O805" s="1"/>
    </row>
    <row r="806" spans="15:15" ht="20.100000000000001" customHeight="1" x14ac:dyDescent="0.3">
      <c r="O806" s="1"/>
    </row>
    <row r="807" spans="15:15" ht="20.100000000000001" customHeight="1" x14ac:dyDescent="0.3">
      <c r="O807" s="1"/>
    </row>
    <row r="808" spans="15:15" ht="20.100000000000001" customHeight="1" x14ac:dyDescent="0.3">
      <c r="O808" s="1"/>
    </row>
    <row r="809" spans="15:15" ht="20.100000000000001" customHeight="1" x14ac:dyDescent="0.3">
      <c r="O809" s="1"/>
    </row>
    <row r="810" spans="15:15" ht="20.100000000000001" customHeight="1" x14ac:dyDescent="0.3">
      <c r="O810" s="1"/>
    </row>
    <row r="811" spans="15:15" ht="20.100000000000001" customHeight="1" x14ac:dyDescent="0.3">
      <c r="O811" s="1"/>
    </row>
    <row r="812" spans="15:15" ht="20.100000000000001" customHeight="1" x14ac:dyDescent="0.3">
      <c r="O812" s="1"/>
    </row>
    <row r="813" spans="15:15" ht="20.100000000000001" customHeight="1" x14ac:dyDescent="0.3">
      <c r="O813" s="1"/>
    </row>
    <row r="814" spans="15:15" ht="20.100000000000001" customHeight="1" x14ac:dyDescent="0.3">
      <c r="O814" s="1"/>
    </row>
    <row r="815" spans="15:15" ht="20.100000000000001" customHeight="1" x14ac:dyDescent="0.3">
      <c r="O815" s="1"/>
    </row>
    <row r="816" spans="15:15" ht="20.100000000000001" customHeight="1" x14ac:dyDescent="0.3">
      <c r="O816" s="1"/>
    </row>
    <row r="817" spans="15:15" ht="20.100000000000001" customHeight="1" x14ac:dyDescent="0.3">
      <c r="O817" s="1"/>
    </row>
    <row r="818" spans="15:15" ht="20.100000000000001" customHeight="1" x14ac:dyDescent="0.3">
      <c r="O818" s="1"/>
    </row>
    <row r="819" spans="15:15" ht="20.100000000000001" customHeight="1" x14ac:dyDescent="0.3">
      <c r="O819" s="1"/>
    </row>
    <row r="820" spans="15:15" ht="20.100000000000001" customHeight="1" x14ac:dyDescent="0.3">
      <c r="O820" s="1"/>
    </row>
    <row r="821" spans="15:15" ht="20.100000000000001" customHeight="1" x14ac:dyDescent="0.3">
      <c r="O821" s="1"/>
    </row>
    <row r="822" spans="15:15" ht="20.100000000000001" customHeight="1" x14ac:dyDescent="0.3">
      <c r="O822" s="1"/>
    </row>
    <row r="823" spans="15:15" ht="20.100000000000001" customHeight="1" x14ac:dyDescent="0.3">
      <c r="O823" s="1"/>
    </row>
    <row r="824" spans="15:15" ht="20.100000000000001" customHeight="1" x14ac:dyDescent="0.3">
      <c r="O824" s="1"/>
    </row>
    <row r="825" spans="15:15" ht="20.100000000000001" customHeight="1" x14ac:dyDescent="0.3">
      <c r="O825" s="1"/>
    </row>
    <row r="826" spans="15:15" ht="20.100000000000001" customHeight="1" x14ac:dyDescent="0.3">
      <c r="O826" s="1"/>
    </row>
    <row r="827" spans="15:15" ht="20.100000000000001" customHeight="1" x14ac:dyDescent="0.3">
      <c r="O827" s="1"/>
    </row>
    <row r="828" spans="15:15" ht="20.100000000000001" customHeight="1" x14ac:dyDescent="0.3">
      <c r="O828" s="1"/>
    </row>
    <row r="829" spans="15:15" ht="20.100000000000001" customHeight="1" x14ac:dyDescent="0.3">
      <c r="O829" s="1"/>
    </row>
    <row r="830" spans="15:15" ht="20.100000000000001" customHeight="1" x14ac:dyDescent="0.3">
      <c r="O830" s="1"/>
    </row>
    <row r="831" spans="15:15" ht="20.100000000000001" customHeight="1" x14ac:dyDescent="0.3">
      <c r="O831" s="1"/>
    </row>
    <row r="832" spans="15:15" ht="20.100000000000001" customHeight="1" x14ac:dyDescent="0.3">
      <c r="O832" s="1"/>
    </row>
    <row r="833" spans="15:15" ht="20.100000000000001" customHeight="1" x14ac:dyDescent="0.3">
      <c r="O833" s="1"/>
    </row>
    <row r="834" spans="15:15" ht="20.100000000000001" customHeight="1" x14ac:dyDescent="0.3">
      <c r="O834" s="1"/>
    </row>
    <row r="835" spans="15:15" ht="20.100000000000001" customHeight="1" x14ac:dyDescent="0.3">
      <c r="O835" s="1"/>
    </row>
    <row r="836" spans="15:15" ht="20.100000000000001" customHeight="1" x14ac:dyDescent="0.3">
      <c r="O836" s="1"/>
    </row>
    <row r="837" spans="15:15" ht="20.100000000000001" customHeight="1" x14ac:dyDescent="0.3">
      <c r="O837" s="1"/>
    </row>
    <row r="838" spans="15:15" ht="20.100000000000001" customHeight="1" x14ac:dyDescent="0.3">
      <c r="O838" s="1"/>
    </row>
    <row r="839" spans="15:15" ht="20.100000000000001" customHeight="1" x14ac:dyDescent="0.3">
      <c r="O839" s="1"/>
    </row>
    <row r="840" spans="15:15" ht="20.100000000000001" customHeight="1" x14ac:dyDescent="0.3">
      <c r="O840" s="1"/>
    </row>
    <row r="841" spans="15:15" ht="20.100000000000001" customHeight="1" x14ac:dyDescent="0.3">
      <c r="O841" s="1"/>
    </row>
    <row r="842" spans="15:15" ht="20.100000000000001" customHeight="1" x14ac:dyDescent="0.3">
      <c r="O842" s="1"/>
    </row>
    <row r="843" spans="15:15" ht="20.100000000000001" customHeight="1" x14ac:dyDescent="0.3">
      <c r="O843" s="1"/>
    </row>
    <row r="844" spans="15:15" ht="20.100000000000001" customHeight="1" x14ac:dyDescent="0.3">
      <c r="O844" s="1"/>
    </row>
    <row r="845" spans="15:15" ht="20.100000000000001" customHeight="1" x14ac:dyDescent="0.3">
      <c r="O845" s="1"/>
    </row>
    <row r="846" spans="15:15" ht="20.100000000000001" customHeight="1" x14ac:dyDescent="0.3">
      <c r="O846" s="1"/>
    </row>
    <row r="847" spans="15:15" ht="20.100000000000001" customHeight="1" x14ac:dyDescent="0.3">
      <c r="O847" s="1"/>
    </row>
    <row r="848" spans="15:15" ht="20.100000000000001" customHeight="1" x14ac:dyDescent="0.3">
      <c r="O848" s="1"/>
    </row>
    <row r="849" spans="15:15" ht="20.100000000000001" customHeight="1" x14ac:dyDescent="0.3">
      <c r="O849" s="1"/>
    </row>
    <row r="850" spans="15:15" ht="20.100000000000001" customHeight="1" x14ac:dyDescent="0.3">
      <c r="O850" s="1"/>
    </row>
    <row r="851" spans="15:15" ht="20.100000000000001" customHeight="1" x14ac:dyDescent="0.3">
      <c r="O851" s="1"/>
    </row>
    <row r="852" spans="15:15" ht="20.100000000000001" customHeight="1" x14ac:dyDescent="0.3">
      <c r="O852" s="1"/>
    </row>
    <row r="853" spans="15:15" ht="20.100000000000001" customHeight="1" x14ac:dyDescent="0.3">
      <c r="O853" s="1"/>
    </row>
    <row r="854" spans="15:15" ht="20.100000000000001" customHeight="1" x14ac:dyDescent="0.3">
      <c r="O854" s="1"/>
    </row>
    <row r="855" spans="15:15" ht="20.100000000000001" customHeight="1" x14ac:dyDescent="0.3">
      <c r="O855" s="1"/>
    </row>
    <row r="856" spans="15:15" ht="20.100000000000001" customHeight="1" x14ac:dyDescent="0.3">
      <c r="O856" s="1"/>
    </row>
    <row r="857" spans="15:15" ht="20.100000000000001" customHeight="1" x14ac:dyDescent="0.3">
      <c r="O857" s="1"/>
    </row>
    <row r="858" spans="15:15" ht="20.100000000000001" customHeight="1" x14ac:dyDescent="0.3">
      <c r="O858" s="1"/>
    </row>
    <row r="859" spans="15:15" ht="20.100000000000001" customHeight="1" x14ac:dyDescent="0.3">
      <c r="O859" s="1"/>
    </row>
    <row r="860" spans="15:15" ht="20.100000000000001" customHeight="1" x14ac:dyDescent="0.3">
      <c r="O860" s="1"/>
    </row>
    <row r="861" spans="15:15" ht="20.100000000000001" customHeight="1" x14ac:dyDescent="0.3">
      <c r="O861" s="1"/>
    </row>
    <row r="862" spans="15:15" ht="20.100000000000001" customHeight="1" x14ac:dyDescent="0.3">
      <c r="O862" s="1"/>
    </row>
    <row r="863" spans="15:15" ht="20.100000000000001" customHeight="1" x14ac:dyDescent="0.3">
      <c r="O863" s="1"/>
    </row>
    <row r="864" spans="15:15" ht="20.100000000000001" customHeight="1" x14ac:dyDescent="0.3">
      <c r="O864" s="1"/>
    </row>
    <row r="865" spans="15:15" ht="20.100000000000001" customHeight="1" x14ac:dyDescent="0.3">
      <c r="O865" s="1"/>
    </row>
    <row r="866" spans="15:15" ht="20.100000000000001" customHeight="1" x14ac:dyDescent="0.3">
      <c r="O866" s="1"/>
    </row>
    <row r="867" spans="15:15" ht="20.100000000000001" customHeight="1" x14ac:dyDescent="0.3">
      <c r="O867" s="1"/>
    </row>
    <row r="868" spans="15:15" ht="20.100000000000001" customHeight="1" x14ac:dyDescent="0.3">
      <c r="O868" s="1"/>
    </row>
    <row r="869" spans="15:15" ht="20.100000000000001" customHeight="1" x14ac:dyDescent="0.3">
      <c r="O869" s="1"/>
    </row>
    <row r="870" spans="15:15" ht="20.100000000000001" customHeight="1" x14ac:dyDescent="0.3">
      <c r="O870" s="1"/>
    </row>
    <row r="871" spans="15:15" ht="20.100000000000001" customHeight="1" x14ac:dyDescent="0.3">
      <c r="O871" s="1"/>
    </row>
    <row r="872" spans="15:15" ht="20.100000000000001" customHeight="1" x14ac:dyDescent="0.3">
      <c r="O872" s="1"/>
    </row>
    <row r="873" spans="15:15" ht="20.100000000000001" customHeight="1" x14ac:dyDescent="0.3">
      <c r="O873" s="1"/>
    </row>
    <row r="874" spans="15:15" ht="20.100000000000001" customHeight="1" x14ac:dyDescent="0.3">
      <c r="O874" s="1"/>
    </row>
    <row r="875" spans="15:15" ht="20.100000000000001" customHeight="1" x14ac:dyDescent="0.3">
      <c r="O875" s="1"/>
    </row>
    <row r="876" spans="15:15" ht="20.100000000000001" customHeight="1" x14ac:dyDescent="0.3">
      <c r="O876" s="1"/>
    </row>
    <row r="877" spans="15:15" ht="20.100000000000001" customHeight="1" x14ac:dyDescent="0.3">
      <c r="O877" s="1"/>
    </row>
    <row r="878" spans="15:15" ht="20.100000000000001" customHeight="1" x14ac:dyDescent="0.3">
      <c r="O878" s="1"/>
    </row>
    <row r="879" spans="15:15" ht="20.100000000000001" customHeight="1" x14ac:dyDescent="0.3">
      <c r="O879" s="1"/>
    </row>
    <row r="880" spans="15:15" ht="20.100000000000001" customHeight="1" x14ac:dyDescent="0.3">
      <c r="O880" s="1"/>
    </row>
    <row r="881" spans="15:15" ht="20.100000000000001" customHeight="1" x14ac:dyDescent="0.3">
      <c r="O881" s="1"/>
    </row>
    <row r="882" spans="15:15" ht="20.100000000000001" customHeight="1" x14ac:dyDescent="0.3">
      <c r="O882" s="1"/>
    </row>
    <row r="883" spans="15:15" ht="20.100000000000001" customHeight="1" x14ac:dyDescent="0.3">
      <c r="O883" s="1"/>
    </row>
    <row r="884" spans="15:15" ht="20.100000000000001" customHeight="1" x14ac:dyDescent="0.3">
      <c r="O884" s="1"/>
    </row>
    <row r="885" spans="15:15" ht="20.100000000000001" customHeight="1" x14ac:dyDescent="0.3">
      <c r="O885" s="1"/>
    </row>
    <row r="886" spans="15:15" ht="20.100000000000001" customHeight="1" x14ac:dyDescent="0.3">
      <c r="O886" s="1"/>
    </row>
    <row r="887" spans="15:15" ht="20.100000000000001" customHeight="1" x14ac:dyDescent="0.3">
      <c r="O887" s="1"/>
    </row>
    <row r="888" spans="15:15" ht="20.100000000000001" customHeight="1" x14ac:dyDescent="0.3">
      <c r="O888" s="1"/>
    </row>
    <row r="889" spans="15:15" ht="20.100000000000001" customHeight="1" x14ac:dyDescent="0.3">
      <c r="O889" s="1"/>
    </row>
    <row r="890" spans="15:15" ht="20.100000000000001" customHeight="1" x14ac:dyDescent="0.3">
      <c r="O890" s="1"/>
    </row>
    <row r="891" spans="15:15" ht="20.100000000000001" customHeight="1" x14ac:dyDescent="0.3">
      <c r="O891" s="1"/>
    </row>
    <row r="892" spans="15:15" ht="20.100000000000001" customHeight="1" x14ac:dyDescent="0.3">
      <c r="O892" s="1"/>
    </row>
    <row r="893" spans="15:15" ht="20.100000000000001" customHeight="1" x14ac:dyDescent="0.3">
      <c r="O893" s="1"/>
    </row>
    <row r="894" spans="15:15" ht="20.100000000000001" customHeight="1" x14ac:dyDescent="0.3">
      <c r="O894" s="1"/>
    </row>
    <row r="895" spans="15:15" ht="20.100000000000001" customHeight="1" x14ac:dyDescent="0.3">
      <c r="O895" s="1"/>
    </row>
    <row r="896" spans="15:15" ht="20.100000000000001" customHeight="1" x14ac:dyDescent="0.3">
      <c r="O896" s="1"/>
    </row>
    <row r="897" spans="15:15" ht="20.100000000000001" customHeight="1" x14ac:dyDescent="0.3">
      <c r="O897" s="1"/>
    </row>
    <row r="898" spans="15:15" ht="20.100000000000001" customHeight="1" x14ac:dyDescent="0.3">
      <c r="O898" s="1"/>
    </row>
    <row r="899" spans="15:15" ht="20.100000000000001" customHeight="1" x14ac:dyDescent="0.3">
      <c r="O899" s="1"/>
    </row>
    <row r="900" spans="15:15" ht="20.100000000000001" customHeight="1" x14ac:dyDescent="0.3">
      <c r="O900" s="1"/>
    </row>
    <row r="901" spans="15:15" ht="20.100000000000001" customHeight="1" x14ac:dyDescent="0.3">
      <c r="O901" s="1"/>
    </row>
    <row r="902" spans="15:15" ht="20.100000000000001" customHeight="1" x14ac:dyDescent="0.3">
      <c r="O902" s="1"/>
    </row>
    <row r="903" spans="15:15" ht="20.100000000000001" customHeight="1" x14ac:dyDescent="0.3">
      <c r="O903" s="1"/>
    </row>
    <row r="904" spans="15:15" ht="20.100000000000001" customHeight="1" x14ac:dyDescent="0.3">
      <c r="O904" s="1"/>
    </row>
    <row r="905" spans="15:15" ht="20.100000000000001" customHeight="1" x14ac:dyDescent="0.3">
      <c r="O905" s="1"/>
    </row>
    <row r="906" spans="15:15" ht="20.100000000000001" customHeight="1" x14ac:dyDescent="0.3">
      <c r="O906" s="1"/>
    </row>
    <row r="907" spans="15:15" ht="20.100000000000001" customHeight="1" x14ac:dyDescent="0.3">
      <c r="O907" s="1"/>
    </row>
    <row r="908" spans="15:15" ht="20.100000000000001" customHeight="1" x14ac:dyDescent="0.3">
      <c r="O908" s="1"/>
    </row>
    <row r="909" spans="15:15" ht="20.100000000000001" customHeight="1" x14ac:dyDescent="0.3">
      <c r="O909" s="1"/>
    </row>
    <row r="910" spans="15:15" ht="20.100000000000001" customHeight="1" x14ac:dyDescent="0.3">
      <c r="O910" s="1"/>
    </row>
    <row r="911" spans="15:15" ht="20.100000000000001" customHeight="1" x14ac:dyDescent="0.3">
      <c r="O911" s="1"/>
    </row>
    <row r="912" spans="15:15" ht="20.100000000000001" customHeight="1" x14ac:dyDescent="0.3">
      <c r="O912" s="1"/>
    </row>
    <row r="913" spans="15:15" ht="20.100000000000001" customHeight="1" x14ac:dyDescent="0.3">
      <c r="O913" s="1"/>
    </row>
    <row r="914" spans="15:15" ht="20.100000000000001" customHeight="1" x14ac:dyDescent="0.3">
      <c r="O914" s="1"/>
    </row>
    <row r="915" spans="15:15" ht="20.100000000000001" customHeight="1" x14ac:dyDescent="0.3">
      <c r="O915" s="1"/>
    </row>
    <row r="916" spans="15:15" ht="20.100000000000001" customHeight="1" x14ac:dyDescent="0.3">
      <c r="O916" s="1"/>
    </row>
    <row r="917" spans="15:15" ht="20.100000000000001" customHeight="1" x14ac:dyDescent="0.3">
      <c r="O917" s="1"/>
    </row>
    <row r="918" spans="15:15" ht="20.100000000000001" customHeight="1" x14ac:dyDescent="0.3">
      <c r="O918" s="1"/>
    </row>
    <row r="919" spans="15:15" ht="20.100000000000001" customHeight="1" x14ac:dyDescent="0.3">
      <c r="O919" s="1"/>
    </row>
    <row r="920" spans="15:15" ht="20.100000000000001" customHeight="1" x14ac:dyDescent="0.3">
      <c r="O920" s="1"/>
    </row>
    <row r="921" spans="15:15" ht="20.100000000000001" customHeight="1" x14ac:dyDescent="0.3">
      <c r="O921" s="1"/>
    </row>
    <row r="922" spans="15:15" ht="20.100000000000001" customHeight="1" x14ac:dyDescent="0.3">
      <c r="O922" s="1"/>
    </row>
    <row r="923" spans="15:15" ht="20.100000000000001" customHeight="1" x14ac:dyDescent="0.3">
      <c r="O923" s="1"/>
    </row>
    <row r="924" spans="15:15" ht="20.100000000000001" customHeight="1" x14ac:dyDescent="0.3">
      <c r="O924" s="1"/>
    </row>
    <row r="925" spans="15:15" ht="20.100000000000001" customHeight="1" x14ac:dyDescent="0.3">
      <c r="O925" s="1"/>
    </row>
    <row r="926" spans="15:15" ht="20.100000000000001" customHeight="1" x14ac:dyDescent="0.3">
      <c r="O926" s="1"/>
    </row>
    <row r="927" spans="15:15" ht="20.100000000000001" customHeight="1" x14ac:dyDescent="0.3">
      <c r="O927" s="1"/>
    </row>
    <row r="928" spans="15:15" ht="20.100000000000001" customHeight="1" x14ac:dyDescent="0.3">
      <c r="O928" s="1"/>
    </row>
    <row r="929" spans="15:15" ht="20.100000000000001" customHeight="1" x14ac:dyDescent="0.3">
      <c r="O929" s="1"/>
    </row>
    <row r="930" spans="15:15" ht="20.100000000000001" customHeight="1" x14ac:dyDescent="0.3">
      <c r="O930" s="1"/>
    </row>
    <row r="931" spans="15:15" ht="20.100000000000001" customHeight="1" x14ac:dyDescent="0.3">
      <c r="O931" s="1"/>
    </row>
    <row r="932" spans="15:15" ht="20.100000000000001" customHeight="1" x14ac:dyDescent="0.3">
      <c r="O932" s="1"/>
    </row>
    <row r="933" spans="15:15" ht="20.100000000000001" customHeight="1" x14ac:dyDescent="0.3">
      <c r="O933" s="1"/>
    </row>
    <row r="934" spans="15:15" ht="20.100000000000001" customHeight="1" x14ac:dyDescent="0.3">
      <c r="O934" s="1"/>
    </row>
    <row r="935" spans="15:15" ht="20.100000000000001" customHeight="1" x14ac:dyDescent="0.3">
      <c r="O935" s="1"/>
    </row>
    <row r="936" spans="15:15" ht="20.100000000000001" customHeight="1" x14ac:dyDescent="0.3">
      <c r="O936" s="1"/>
    </row>
    <row r="937" spans="15:15" ht="20.100000000000001" customHeight="1" x14ac:dyDescent="0.3">
      <c r="O937" s="1"/>
    </row>
    <row r="938" spans="15:15" ht="20.100000000000001" customHeight="1" x14ac:dyDescent="0.3">
      <c r="O938" s="1"/>
    </row>
    <row r="939" spans="15:15" ht="20.100000000000001" customHeight="1" x14ac:dyDescent="0.3">
      <c r="O939" s="1"/>
    </row>
    <row r="940" spans="15:15" ht="20.100000000000001" customHeight="1" x14ac:dyDescent="0.3">
      <c r="O940" s="1"/>
    </row>
    <row r="941" spans="15:15" ht="20.100000000000001" customHeight="1" x14ac:dyDescent="0.3">
      <c r="O941" s="1"/>
    </row>
    <row r="942" spans="15:15" ht="20.100000000000001" customHeight="1" x14ac:dyDescent="0.3">
      <c r="O942" s="1"/>
    </row>
    <row r="943" spans="15:15" ht="20.100000000000001" customHeight="1" x14ac:dyDescent="0.3">
      <c r="O943" s="1"/>
    </row>
    <row r="944" spans="15:15" ht="20.100000000000001" customHeight="1" x14ac:dyDescent="0.3">
      <c r="O944" s="1"/>
    </row>
    <row r="945" spans="15:15" ht="20.100000000000001" customHeight="1" x14ac:dyDescent="0.3">
      <c r="O945" s="1"/>
    </row>
    <row r="946" spans="15:15" ht="20.100000000000001" customHeight="1" x14ac:dyDescent="0.3">
      <c r="O946" s="1"/>
    </row>
    <row r="947" spans="15:15" ht="20.100000000000001" customHeight="1" x14ac:dyDescent="0.3">
      <c r="O947" s="1"/>
    </row>
    <row r="948" spans="15:15" ht="20.100000000000001" customHeight="1" x14ac:dyDescent="0.3">
      <c r="O948" s="1"/>
    </row>
    <row r="949" spans="15:15" ht="20.100000000000001" customHeight="1" x14ac:dyDescent="0.3">
      <c r="O949" s="1"/>
    </row>
    <row r="950" spans="15:15" ht="20.100000000000001" customHeight="1" x14ac:dyDescent="0.3">
      <c r="O950" s="1"/>
    </row>
    <row r="951" spans="15:15" ht="20.100000000000001" customHeight="1" x14ac:dyDescent="0.3">
      <c r="O951" s="1"/>
    </row>
    <row r="952" spans="15:15" ht="20.100000000000001" customHeight="1" x14ac:dyDescent="0.3">
      <c r="O952" s="1"/>
    </row>
    <row r="953" spans="15:15" ht="20.100000000000001" customHeight="1" x14ac:dyDescent="0.3">
      <c r="O953" s="1"/>
    </row>
    <row r="954" spans="15:15" ht="20.100000000000001" customHeight="1" x14ac:dyDescent="0.3">
      <c r="O954" s="1"/>
    </row>
    <row r="955" spans="15:15" ht="20.100000000000001" customHeight="1" x14ac:dyDescent="0.3">
      <c r="O955" s="1"/>
    </row>
    <row r="956" spans="15:15" ht="20.100000000000001" customHeight="1" x14ac:dyDescent="0.3">
      <c r="O956" s="1"/>
    </row>
    <row r="957" spans="15:15" ht="20.100000000000001" customHeight="1" x14ac:dyDescent="0.3">
      <c r="O957" s="1"/>
    </row>
    <row r="958" spans="15:15" ht="20.100000000000001" customHeight="1" x14ac:dyDescent="0.3">
      <c r="O958" s="1"/>
    </row>
    <row r="959" spans="15:15" ht="20.100000000000001" customHeight="1" x14ac:dyDescent="0.3">
      <c r="O959" s="1"/>
    </row>
    <row r="960" spans="15:15" ht="20.100000000000001" customHeight="1" x14ac:dyDescent="0.3">
      <c r="O960" s="1"/>
    </row>
    <row r="961" spans="15:15" ht="20.100000000000001" customHeight="1" x14ac:dyDescent="0.3">
      <c r="O961" s="1"/>
    </row>
    <row r="962" spans="15:15" ht="20.100000000000001" customHeight="1" x14ac:dyDescent="0.3">
      <c r="O962" s="1"/>
    </row>
    <row r="963" spans="15:15" ht="20.100000000000001" customHeight="1" x14ac:dyDescent="0.3">
      <c r="O963" s="1"/>
    </row>
    <row r="964" spans="15:15" ht="20.100000000000001" customHeight="1" x14ac:dyDescent="0.3">
      <c r="O964" s="1"/>
    </row>
    <row r="965" spans="15:15" ht="20.100000000000001" customHeight="1" x14ac:dyDescent="0.3">
      <c r="O965" s="1"/>
    </row>
    <row r="966" spans="15:15" ht="20.100000000000001" customHeight="1" x14ac:dyDescent="0.3">
      <c r="O966" s="1"/>
    </row>
    <row r="967" spans="15:15" ht="20.100000000000001" customHeight="1" x14ac:dyDescent="0.3">
      <c r="O967" s="1"/>
    </row>
    <row r="968" spans="15:15" ht="20.100000000000001" customHeight="1" x14ac:dyDescent="0.3">
      <c r="O968" s="1"/>
    </row>
    <row r="969" spans="15:15" ht="20.100000000000001" customHeight="1" x14ac:dyDescent="0.3">
      <c r="O969" s="1"/>
    </row>
    <row r="970" spans="15:15" ht="20.100000000000001" customHeight="1" x14ac:dyDescent="0.3">
      <c r="O970" s="1"/>
    </row>
    <row r="971" spans="15:15" ht="20.100000000000001" customHeight="1" x14ac:dyDescent="0.3">
      <c r="O971" s="1"/>
    </row>
    <row r="972" spans="15:15" ht="20.100000000000001" customHeight="1" x14ac:dyDescent="0.3">
      <c r="O972" s="1"/>
    </row>
    <row r="973" spans="15:15" ht="20.100000000000001" customHeight="1" x14ac:dyDescent="0.3">
      <c r="O973" s="1"/>
    </row>
    <row r="974" spans="15:15" ht="20.100000000000001" customHeight="1" x14ac:dyDescent="0.3">
      <c r="O974" s="1"/>
    </row>
    <row r="975" spans="15:15" ht="20.100000000000001" customHeight="1" x14ac:dyDescent="0.3">
      <c r="O975" s="1"/>
    </row>
    <row r="976" spans="15:15" ht="20.100000000000001" customHeight="1" x14ac:dyDescent="0.3">
      <c r="O976" s="1"/>
    </row>
    <row r="977" spans="15:15" ht="20.100000000000001" customHeight="1" x14ac:dyDescent="0.3">
      <c r="O977" s="1"/>
    </row>
    <row r="978" spans="15:15" ht="20.100000000000001" customHeight="1" x14ac:dyDescent="0.3">
      <c r="O978" s="1"/>
    </row>
    <row r="979" spans="15:15" ht="20.100000000000001" customHeight="1" x14ac:dyDescent="0.3">
      <c r="O979" s="1"/>
    </row>
    <row r="980" spans="15:15" ht="20.100000000000001" customHeight="1" x14ac:dyDescent="0.3">
      <c r="O980" s="1"/>
    </row>
    <row r="981" spans="15:15" ht="20.100000000000001" customHeight="1" x14ac:dyDescent="0.3">
      <c r="O981" s="1"/>
    </row>
    <row r="982" spans="15:15" ht="20.100000000000001" customHeight="1" x14ac:dyDescent="0.3">
      <c r="O982" s="1"/>
    </row>
    <row r="983" spans="15:15" ht="20.100000000000001" customHeight="1" x14ac:dyDescent="0.3">
      <c r="O983" s="1"/>
    </row>
    <row r="984" spans="15:15" ht="20.100000000000001" customHeight="1" x14ac:dyDescent="0.3">
      <c r="O984" s="1"/>
    </row>
    <row r="985" spans="15:15" ht="20.100000000000001" customHeight="1" x14ac:dyDescent="0.3">
      <c r="O985" s="1"/>
    </row>
    <row r="986" spans="15:15" ht="20.100000000000001" customHeight="1" x14ac:dyDescent="0.3">
      <c r="O986" s="1"/>
    </row>
    <row r="987" spans="15:15" ht="20.100000000000001" customHeight="1" x14ac:dyDescent="0.3">
      <c r="O987" s="1"/>
    </row>
    <row r="988" spans="15:15" ht="20.100000000000001" customHeight="1" x14ac:dyDescent="0.3">
      <c r="O988" s="1"/>
    </row>
    <row r="989" spans="15:15" ht="20.100000000000001" customHeight="1" x14ac:dyDescent="0.3">
      <c r="O989" s="1"/>
    </row>
    <row r="990" spans="15:15" ht="20.100000000000001" customHeight="1" x14ac:dyDescent="0.3">
      <c r="O990" s="1"/>
    </row>
    <row r="991" spans="15:15" ht="20.100000000000001" customHeight="1" x14ac:dyDescent="0.3">
      <c r="O991" s="1"/>
    </row>
    <row r="992" spans="15:15" ht="20.100000000000001" customHeight="1" x14ac:dyDescent="0.3">
      <c r="O992" s="1"/>
    </row>
    <row r="993" spans="15:15" ht="20.100000000000001" customHeight="1" x14ac:dyDescent="0.3">
      <c r="O993" s="1"/>
    </row>
    <row r="994" spans="15:15" ht="20.100000000000001" customHeight="1" x14ac:dyDescent="0.3">
      <c r="O994" s="1"/>
    </row>
    <row r="995" spans="15:15" ht="20.100000000000001" customHeight="1" x14ac:dyDescent="0.3">
      <c r="O995" s="1"/>
    </row>
    <row r="996" spans="15:15" ht="20.100000000000001" customHeight="1" x14ac:dyDescent="0.3">
      <c r="O996" s="1"/>
    </row>
    <row r="997" spans="15:15" ht="20.100000000000001" customHeight="1" x14ac:dyDescent="0.3">
      <c r="O997" s="1"/>
    </row>
    <row r="998" spans="15:15" ht="20.100000000000001" customHeight="1" x14ac:dyDescent="0.3">
      <c r="O998" s="1"/>
    </row>
    <row r="999" spans="15:15" ht="20.100000000000001" customHeight="1" x14ac:dyDescent="0.3">
      <c r="O999" s="1"/>
    </row>
    <row r="1000" spans="15:15" ht="20.100000000000001" customHeight="1" x14ac:dyDescent="0.3">
      <c r="O1000" s="1"/>
    </row>
    <row r="1001" spans="15:15" ht="20.100000000000001" customHeight="1" x14ac:dyDescent="0.3">
      <c r="O1001" s="1"/>
    </row>
    <row r="1002" spans="15:15" ht="20.100000000000001" customHeight="1" x14ac:dyDescent="0.3">
      <c r="O1002" s="1"/>
    </row>
    <row r="1003" spans="15:15" ht="20.100000000000001" customHeight="1" x14ac:dyDescent="0.3">
      <c r="O1003" s="1"/>
    </row>
    <row r="1004" spans="15:15" ht="20.100000000000001" customHeight="1" x14ac:dyDescent="0.3">
      <c r="O1004" s="1"/>
    </row>
    <row r="1005" spans="15:15" ht="20.100000000000001" customHeight="1" x14ac:dyDescent="0.3">
      <c r="O1005" s="1"/>
    </row>
    <row r="1006" spans="15:15" ht="20.100000000000001" customHeight="1" x14ac:dyDescent="0.3">
      <c r="O1006" s="1"/>
    </row>
    <row r="1007" spans="15:15" ht="20.100000000000001" customHeight="1" x14ac:dyDescent="0.3">
      <c r="O1007" s="1"/>
    </row>
    <row r="1008" spans="15:15" ht="20.100000000000001" customHeight="1" x14ac:dyDescent="0.3">
      <c r="O1008" s="1"/>
    </row>
    <row r="1009" spans="15:15" ht="20.100000000000001" customHeight="1" x14ac:dyDescent="0.3">
      <c r="O1009" s="1"/>
    </row>
    <row r="1010" spans="15:15" ht="20.100000000000001" customHeight="1" x14ac:dyDescent="0.3">
      <c r="O1010" s="1"/>
    </row>
    <row r="1011" spans="15:15" ht="20.100000000000001" customHeight="1" x14ac:dyDescent="0.3">
      <c r="O1011" s="1"/>
    </row>
    <row r="1012" spans="15:15" ht="20.100000000000001" customHeight="1" x14ac:dyDescent="0.3">
      <c r="O1012" s="1"/>
    </row>
    <row r="1013" spans="15:15" ht="20.100000000000001" customHeight="1" x14ac:dyDescent="0.3">
      <c r="O1013" s="1"/>
    </row>
    <row r="1014" spans="15:15" ht="20.100000000000001" customHeight="1" x14ac:dyDescent="0.3">
      <c r="O1014" s="1"/>
    </row>
    <row r="1015" spans="15:15" ht="20.100000000000001" customHeight="1" x14ac:dyDescent="0.3">
      <c r="O1015" s="1"/>
    </row>
    <row r="1016" spans="15:15" ht="20.100000000000001" customHeight="1" x14ac:dyDescent="0.3">
      <c r="O1016" s="1"/>
    </row>
    <row r="1017" spans="15:15" x14ac:dyDescent="0.3">
      <c r="O1017" s="1"/>
    </row>
    <row r="1018" spans="15:15" x14ac:dyDescent="0.3">
      <c r="O1018" s="1"/>
    </row>
    <row r="1019" spans="15:15" x14ac:dyDescent="0.3">
      <c r="O1019" s="1"/>
    </row>
    <row r="1020" spans="15:15" x14ac:dyDescent="0.3">
      <c r="O1020" s="1"/>
    </row>
    <row r="1021" spans="15:15" x14ac:dyDescent="0.3">
      <c r="O1021" s="1"/>
    </row>
    <row r="1022" spans="15:15" x14ac:dyDescent="0.3">
      <c r="O1022" s="1"/>
    </row>
    <row r="1023" spans="15:15" x14ac:dyDescent="0.3">
      <c r="O1023" s="1"/>
    </row>
    <row r="1024" spans="15:15" x14ac:dyDescent="0.3">
      <c r="O1024" s="1"/>
    </row>
    <row r="1025" spans="15:15" x14ac:dyDescent="0.3">
      <c r="O1025" s="1"/>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55E9-6CA7-4AFD-A9B5-43EC8409FE79}">
  <sheetPr codeName="Sheet4"/>
  <dimension ref="B1:BJ50"/>
  <sheetViews>
    <sheetView workbookViewId="0">
      <selection activeCell="AV6" sqref="AV6"/>
    </sheetView>
  </sheetViews>
  <sheetFormatPr defaultRowHeight="14.4" x14ac:dyDescent="0.3"/>
  <cols>
    <col min="2" max="3" width="15.5546875" bestFit="1" customWidth="1"/>
    <col min="6" max="7" width="24.21875" bestFit="1" customWidth="1"/>
    <col min="13" max="13" width="18.77734375" bestFit="1" customWidth="1"/>
    <col min="14" max="14" width="10.33203125" bestFit="1" customWidth="1"/>
    <col min="19" max="19" width="12.5546875" bestFit="1" customWidth="1"/>
    <col min="20" max="20" width="15.5546875" bestFit="1" customWidth="1"/>
    <col min="25" max="25" width="12.5546875" bestFit="1" customWidth="1"/>
    <col min="26" max="26" width="15.5546875" bestFit="1" customWidth="1"/>
    <col min="31" max="31" width="12.5546875" bestFit="1" customWidth="1"/>
    <col min="32" max="32" width="15.5546875" bestFit="1" customWidth="1"/>
    <col min="37" max="37" width="12.5546875" bestFit="1" customWidth="1"/>
    <col min="38" max="38" width="21.5546875" bestFit="1" customWidth="1"/>
    <col min="43" max="43" width="12.5546875" bestFit="1" customWidth="1"/>
    <col min="44" max="44" width="14.109375" bestFit="1" customWidth="1"/>
    <col min="49" max="49" width="12.5546875" bestFit="1" customWidth="1"/>
    <col min="50" max="50" width="15.5546875" bestFit="1" customWidth="1"/>
    <col min="58" max="58" width="26.33203125" bestFit="1" customWidth="1"/>
    <col min="59" max="59" width="15.44140625" customWidth="1"/>
    <col min="60" max="60" width="22.33203125" bestFit="1" customWidth="1"/>
    <col min="61" max="61" width="26.77734375" bestFit="1" customWidth="1"/>
    <col min="62" max="65" width="13.44140625" customWidth="1"/>
  </cols>
  <sheetData>
    <row r="1" spans="2:62" x14ac:dyDescent="0.3">
      <c r="E1" s="43"/>
      <c r="J1" s="43"/>
      <c r="P1" s="43"/>
      <c r="V1" s="43"/>
      <c r="AB1" s="43"/>
      <c r="AH1" s="43"/>
      <c r="AN1" s="43"/>
      <c r="AT1" s="43"/>
      <c r="BC1" s="43"/>
    </row>
    <row r="2" spans="2:62" x14ac:dyDescent="0.3">
      <c r="B2" s="62" t="s">
        <v>203</v>
      </c>
      <c r="C2" s="63"/>
      <c r="D2" s="63"/>
      <c r="E2" s="43"/>
      <c r="G2" s="62" t="s">
        <v>204</v>
      </c>
      <c r="H2" s="63"/>
      <c r="I2" s="63"/>
      <c r="J2" s="43"/>
      <c r="M2" s="62" t="s">
        <v>205</v>
      </c>
      <c r="N2" s="63"/>
      <c r="O2" s="63"/>
      <c r="P2" s="43"/>
      <c r="S2" s="62" t="s">
        <v>206</v>
      </c>
      <c r="T2" s="63"/>
      <c r="U2" s="63"/>
      <c r="V2" s="43"/>
      <c r="Y2" s="62" t="s">
        <v>252</v>
      </c>
      <c r="Z2" s="63"/>
      <c r="AA2" s="63"/>
      <c r="AB2" s="43"/>
      <c r="AE2" s="62" t="s">
        <v>254</v>
      </c>
      <c r="AF2" s="63"/>
      <c r="AG2" s="63"/>
      <c r="AH2" s="43"/>
      <c r="AK2" s="62" t="s">
        <v>257</v>
      </c>
      <c r="AL2" s="63"/>
      <c r="AM2" s="63"/>
      <c r="AN2" s="43"/>
      <c r="AQ2" s="62" t="s">
        <v>258</v>
      </c>
      <c r="AR2" s="63"/>
      <c r="AS2" s="63"/>
      <c r="AT2" s="43"/>
      <c r="AW2" s="62" t="s">
        <v>259</v>
      </c>
      <c r="AX2" s="62"/>
      <c r="AY2" s="62"/>
      <c r="AZ2" s="62"/>
      <c r="BA2" s="62"/>
      <c r="BB2" s="62"/>
      <c r="BC2" s="43"/>
      <c r="BF2" s="62" t="s">
        <v>260</v>
      </c>
      <c r="BG2" s="62"/>
      <c r="BH2" s="62"/>
      <c r="BI2" s="62"/>
    </row>
    <row r="3" spans="2:62" x14ac:dyDescent="0.3">
      <c r="B3" s="63"/>
      <c r="C3" s="63"/>
      <c r="D3" s="63"/>
      <c r="E3" s="43"/>
      <c r="G3" s="63"/>
      <c r="H3" s="63"/>
      <c r="I3" s="63"/>
      <c r="J3" s="43"/>
      <c r="M3" s="63"/>
      <c r="N3" s="63"/>
      <c r="O3" s="63"/>
      <c r="P3" s="43"/>
      <c r="S3" s="63"/>
      <c r="T3" s="63"/>
      <c r="U3" s="63"/>
      <c r="V3" s="43"/>
      <c r="Y3" s="63"/>
      <c r="Z3" s="63"/>
      <c r="AA3" s="63"/>
      <c r="AB3" s="43"/>
      <c r="AE3" s="63"/>
      <c r="AF3" s="63"/>
      <c r="AG3" s="63"/>
      <c r="AH3" s="43"/>
      <c r="AK3" s="63"/>
      <c r="AL3" s="63"/>
      <c r="AM3" s="63"/>
      <c r="AN3" s="43"/>
      <c r="AQ3" s="63"/>
      <c r="AR3" s="63"/>
      <c r="AS3" s="63"/>
      <c r="AT3" s="43"/>
      <c r="AW3" s="62"/>
      <c r="AX3" s="62"/>
      <c r="AY3" s="62"/>
      <c r="AZ3" s="62"/>
      <c r="BA3" s="62"/>
      <c r="BB3" s="62"/>
      <c r="BC3" s="43"/>
      <c r="BF3" s="62"/>
      <c r="BG3" s="62"/>
      <c r="BH3" s="62"/>
      <c r="BI3" s="62"/>
    </row>
    <row r="4" spans="2:62" x14ac:dyDescent="0.3">
      <c r="E4" s="43"/>
      <c r="J4" s="43"/>
      <c r="P4" s="43"/>
      <c r="V4" s="43"/>
      <c r="AB4" s="43"/>
      <c r="AH4" s="43"/>
      <c r="AN4" s="43"/>
      <c r="AT4" s="43"/>
      <c r="BC4" s="43"/>
    </row>
    <row r="5" spans="2:62" x14ac:dyDescent="0.3">
      <c r="B5" t="s">
        <v>287</v>
      </c>
      <c r="E5" s="43"/>
      <c r="G5" t="s">
        <v>288</v>
      </c>
      <c r="J5" s="43"/>
      <c r="M5" t="s">
        <v>289</v>
      </c>
      <c r="P5" s="43"/>
      <c r="S5" s="53" t="s">
        <v>285</v>
      </c>
      <c r="T5" t="s">
        <v>287</v>
      </c>
      <c r="V5" s="43"/>
      <c r="Y5" s="53" t="s">
        <v>285</v>
      </c>
      <c r="Z5" t="s">
        <v>287</v>
      </c>
      <c r="AB5" s="43"/>
      <c r="AE5" s="53" t="s">
        <v>285</v>
      </c>
      <c r="AF5" t="s">
        <v>287</v>
      </c>
      <c r="AH5" s="43"/>
      <c r="AK5" s="53" t="s">
        <v>285</v>
      </c>
      <c r="AL5" t="s">
        <v>290</v>
      </c>
      <c r="AN5" s="43"/>
      <c r="AQ5" s="53" t="s">
        <v>285</v>
      </c>
      <c r="AR5" t="s">
        <v>291</v>
      </c>
      <c r="AT5" s="43"/>
      <c r="AW5" s="53" t="s">
        <v>285</v>
      </c>
      <c r="AX5" t="s">
        <v>287</v>
      </c>
      <c r="BC5" s="43"/>
      <c r="BF5" t="s">
        <v>292</v>
      </c>
      <c r="BH5" s="53" t="s">
        <v>285</v>
      </c>
      <c r="BI5" t="s">
        <v>293</v>
      </c>
    </row>
    <row r="6" spans="2:62" x14ac:dyDescent="0.3">
      <c r="B6" s="57">
        <v>1155307.31544</v>
      </c>
      <c r="C6" s="59">
        <f>GETPIVOTDATA("Sale Price",$B$5)</f>
        <v>1155307.31544</v>
      </c>
      <c r="E6" s="43"/>
      <c r="G6" s="57">
        <v>111</v>
      </c>
      <c r="H6">
        <f>GETPIVOTDATA("Number of Orders",$G$5)</f>
        <v>111</v>
      </c>
      <c r="J6" s="43"/>
      <c r="M6" s="57">
        <v>10408.174012972973</v>
      </c>
      <c r="N6" s="59">
        <f>GETPIVOTDATA("Sale Price",$M$5)</f>
        <v>10408.174012972973</v>
      </c>
      <c r="P6" s="43"/>
      <c r="S6" s="54" t="s">
        <v>5</v>
      </c>
      <c r="T6" s="57">
        <v>781237</v>
      </c>
      <c r="V6" s="43"/>
      <c r="Y6" s="54" t="s">
        <v>84</v>
      </c>
      <c r="Z6" s="57">
        <v>721967.31544000003</v>
      </c>
      <c r="AB6" s="43"/>
      <c r="AE6" s="54" t="s">
        <v>244</v>
      </c>
      <c r="AF6" s="57">
        <v>5135</v>
      </c>
      <c r="AH6" s="43"/>
      <c r="AK6" s="54" t="s">
        <v>261</v>
      </c>
      <c r="AL6" s="58">
        <v>0.44144144144144143</v>
      </c>
      <c r="AN6" s="43"/>
      <c r="AQ6" s="54" t="s">
        <v>111</v>
      </c>
      <c r="AR6" s="58">
        <v>0.81081081081081086</v>
      </c>
      <c r="AT6" s="43"/>
      <c r="AW6" s="54" t="s">
        <v>264</v>
      </c>
      <c r="AX6" s="57">
        <v>328350.5</v>
      </c>
      <c r="BC6" s="43"/>
      <c r="BF6" s="55">
        <v>76</v>
      </c>
      <c r="BG6">
        <f>GETPIVOTDATA("Number of Customers",$BF$5)</f>
        <v>76</v>
      </c>
      <c r="BH6" s="54" t="s">
        <v>243</v>
      </c>
      <c r="BI6" s="55">
        <v>1</v>
      </c>
      <c r="BJ6">
        <f>GETPIVOTDATA("Number of Companies",$BH$5)</f>
        <v>4</v>
      </c>
    </row>
    <row r="7" spans="2:62" x14ac:dyDescent="0.3">
      <c r="E7" s="43"/>
      <c r="J7" s="43"/>
      <c r="P7" s="43"/>
      <c r="S7" s="54" t="s">
        <v>31</v>
      </c>
      <c r="T7" s="57">
        <v>181562.5</v>
      </c>
      <c r="V7" s="43"/>
      <c r="Y7" s="54" t="s">
        <v>90</v>
      </c>
      <c r="Z7" s="57">
        <v>241234</v>
      </c>
      <c r="AB7" s="43"/>
      <c r="AE7" s="54" t="s">
        <v>114</v>
      </c>
      <c r="AF7" s="57">
        <v>6250</v>
      </c>
      <c r="AH7" s="43"/>
      <c r="AK7" s="54" t="s">
        <v>262</v>
      </c>
      <c r="AL7" s="58">
        <v>0.38738738738738737</v>
      </c>
      <c r="AN7" s="43"/>
      <c r="AQ7" s="54" t="s">
        <v>196</v>
      </c>
      <c r="AR7" s="58">
        <v>9.0090090090090089E-3</v>
      </c>
      <c r="AT7" s="43"/>
      <c r="AW7" s="54" t="s">
        <v>263</v>
      </c>
      <c r="AX7" s="57">
        <v>204358.91</v>
      </c>
      <c r="BC7" s="43"/>
      <c r="BH7" s="54" t="s">
        <v>209</v>
      </c>
      <c r="BI7" s="55">
        <v>1</v>
      </c>
    </row>
    <row r="8" spans="2:62" x14ac:dyDescent="0.3">
      <c r="E8" s="43"/>
      <c r="J8" s="43"/>
      <c r="P8" s="43"/>
      <c r="S8" s="54" t="s">
        <v>27</v>
      </c>
      <c r="T8" s="57">
        <v>60650</v>
      </c>
      <c r="V8" s="43"/>
      <c r="Y8" s="54" t="s">
        <v>160</v>
      </c>
      <c r="Z8" s="57">
        <v>150806</v>
      </c>
      <c r="AB8" s="43"/>
      <c r="AE8" s="54" t="s">
        <v>100</v>
      </c>
      <c r="AF8" s="57">
        <v>15228</v>
      </c>
      <c r="AH8" s="43"/>
      <c r="AK8" s="54" t="s">
        <v>134</v>
      </c>
      <c r="AL8" s="58">
        <v>0.17117117117117117</v>
      </c>
      <c r="AN8" s="43"/>
      <c r="AQ8" s="54" t="s">
        <v>134</v>
      </c>
      <c r="AR8" s="58">
        <v>0.17117117117117117</v>
      </c>
      <c r="AT8" s="43"/>
      <c r="AW8" s="54" t="s">
        <v>30</v>
      </c>
      <c r="AX8" s="57">
        <v>150034</v>
      </c>
      <c r="BC8" s="43"/>
      <c r="BH8" s="54" t="s">
        <v>249</v>
      </c>
      <c r="BI8" s="55">
        <v>1</v>
      </c>
    </row>
    <row r="9" spans="2:62" x14ac:dyDescent="0.3">
      <c r="E9" s="43"/>
      <c r="J9" s="43"/>
      <c r="P9" s="43"/>
      <c r="S9" s="54" t="s">
        <v>219</v>
      </c>
      <c r="T9" s="57">
        <v>54511.91</v>
      </c>
      <c r="V9" s="43"/>
      <c r="Y9" s="54" t="s">
        <v>87</v>
      </c>
      <c r="Z9" s="57">
        <v>22000</v>
      </c>
      <c r="AB9" s="43"/>
      <c r="AE9" s="54" t="s">
        <v>99</v>
      </c>
      <c r="AF9" s="57">
        <v>25244</v>
      </c>
      <c r="AH9" s="43"/>
      <c r="AK9" s="54" t="s">
        <v>286</v>
      </c>
      <c r="AL9" s="58">
        <v>1</v>
      </c>
      <c r="AN9" s="43"/>
      <c r="AQ9" s="54" t="s">
        <v>119</v>
      </c>
      <c r="AR9" s="58">
        <v>9.0090090090090089E-3</v>
      </c>
      <c r="AT9" s="43"/>
      <c r="AW9" s="54" t="s">
        <v>295</v>
      </c>
      <c r="AX9" s="57">
        <v>61014</v>
      </c>
      <c r="BC9" s="43"/>
      <c r="BH9" s="54" t="s">
        <v>213</v>
      </c>
      <c r="BI9" s="55">
        <v>1</v>
      </c>
    </row>
    <row r="10" spans="2:62" x14ac:dyDescent="0.3">
      <c r="E10" s="43"/>
      <c r="J10" s="43"/>
      <c r="P10" s="43"/>
      <c r="S10" s="54" t="s">
        <v>122</v>
      </c>
      <c r="T10" s="57">
        <v>33144.905440000002</v>
      </c>
      <c r="V10" s="43"/>
      <c r="Y10" s="54" t="s">
        <v>124</v>
      </c>
      <c r="Z10" s="57">
        <v>10000</v>
      </c>
      <c r="AB10" s="43"/>
      <c r="AE10" s="54" t="s">
        <v>132</v>
      </c>
      <c r="AF10" s="57">
        <v>25798</v>
      </c>
      <c r="AH10" s="43"/>
      <c r="AN10" s="43"/>
      <c r="AQ10" s="54" t="s">
        <v>286</v>
      </c>
      <c r="AR10" s="58">
        <v>1</v>
      </c>
      <c r="AT10" s="43"/>
      <c r="AW10" s="54" t="s">
        <v>210</v>
      </c>
      <c r="AX10" s="57">
        <v>54762</v>
      </c>
      <c r="BC10" s="43"/>
      <c r="BH10" s="54" t="s">
        <v>286</v>
      </c>
      <c r="BI10" s="55">
        <v>4</v>
      </c>
    </row>
    <row r="11" spans="2:62" x14ac:dyDescent="0.3">
      <c r="E11" s="43"/>
      <c r="J11" s="43"/>
      <c r="P11" s="43"/>
      <c r="S11" s="54" t="s">
        <v>155</v>
      </c>
      <c r="T11" s="57">
        <v>27150</v>
      </c>
      <c r="V11" s="43"/>
      <c r="Y11" s="54" t="s">
        <v>91</v>
      </c>
      <c r="Z11" s="57">
        <v>9300</v>
      </c>
      <c r="AB11" s="43"/>
      <c r="AE11" s="54" t="s">
        <v>96</v>
      </c>
      <c r="AF11" s="57">
        <v>29771</v>
      </c>
      <c r="AH11" s="43"/>
      <c r="AN11" s="43"/>
      <c r="AT11" s="43"/>
      <c r="AW11" s="54" t="s">
        <v>286</v>
      </c>
      <c r="AX11" s="57">
        <v>798519.41</v>
      </c>
      <c r="BC11" s="43"/>
    </row>
    <row r="12" spans="2:62" x14ac:dyDescent="0.3">
      <c r="E12" s="43"/>
      <c r="J12" s="43"/>
      <c r="P12" s="43"/>
      <c r="S12" s="54" t="s">
        <v>144</v>
      </c>
      <c r="T12" s="57">
        <v>9655</v>
      </c>
      <c r="V12" s="43"/>
      <c r="Y12" s="54" t="s">
        <v>286</v>
      </c>
      <c r="Z12" s="57">
        <v>1155307.31544</v>
      </c>
      <c r="AB12" s="43"/>
      <c r="AE12" s="54" t="s">
        <v>123</v>
      </c>
      <c r="AF12" s="57">
        <v>29867.315440000002</v>
      </c>
      <c r="AH12" s="43"/>
      <c r="AN12" s="43"/>
      <c r="AT12" s="43"/>
      <c r="BC12" s="43"/>
    </row>
    <row r="13" spans="2:62" x14ac:dyDescent="0.3">
      <c r="E13" s="43"/>
      <c r="J13" s="43"/>
      <c r="P13" s="43"/>
      <c r="S13" s="54" t="s">
        <v>247</v>
      </c>
      <c r="T13" s="57">
        <v>7396</v>
      </c>
      <c r="V13" s="43"/>
      <c r="AB13" s="43"/>
      <c r="AE13" s="54" t="s">
        <v>98</v>
      </c>
      <c r="AF13" s="57">
        <v>95041</v>
      </c>
      <c r="AH13" s="43"/>
      <c r="AN13" s="43"/>
      <c r="AT13" s="43"/>
      <c r="BC13" s="43"/>
    </row>
    <row r="14" spans="2:62" x14ac:dyDescent="0.3">
      <c r="E14" s="43"/>
      <c r="J14" s="43"/>
      <c r="P14" s="43"/>
      <c r="S14" s="54" t="s">
        <v>286</v>
      </c>
      <c r="T14" s="57">
        <v>1155307.31544</v>
      </c>
      <c r="V14" s="43"/>
      <c r="AB14" s="43"/>
      <c r="AE14" s="54" t="s">
        <v>94</v>
      </c>
      <c r="AF14" s="57">
        <v>282045</v>
      </c>
      <c r="AH14" s="43"/>
      <c r="AN14" s="43"/>
      <c r="AT14" s="43"/>
      <c r="BC14" s="43"/>
    </row>
    <row r="15" spans="2:62" x14ac:dyDescent="0.3">
      <c r="E15" s="43"/>
      <c r="J15" s="43"/>
      <c r="P15" s="43"/>
      <c r="V15" s="43"/>
      <c r="AB15" s="43"/>
      <c r="AE15" s="54" t="s">
        <v>95</v>
      </c>
      <c r="AF15" s="57">
        <v>640928</v>
      </c>
      <c r="AH15" s="43"/>
      <c r="AN15" s="43"/>
      <c r="AT15" s="43"/>
      <c r="BC15" s="43"/>
    </row>
    <row r="16" spans="2:62" x14ac:dyDescent="0.3">
      <c r="E16" s="43"/>
      <c r="J16" s="43"/>
      <c r="P16" s="43"/>
      <c r="V16" s="43"/>
      <c r="AB16" s="43"/>
      <c r="AE16" s="54" t="s">
        <v>286</v>
      </c>
      <c r="AF16" s="57">
        <v>1155307.31544</v>
      </c>
      <c r="AH16" s="43"/>
      <c r="AN16" s="43"/>
      <c r="AT16" s="43"/>
      <c r="BC16" s="43"/>
    </row>
    <row r="17" spans="5:55" x14ac:dyDescent="0.3">
      <c r="E17" s="43"/>
      <c r="J17" s="43"/>
      <c r="P17" s="43"/>
      <c r="V17" s="43"/>
      <c r="AB17" s="43"/>
      <c r="AH17" s="43"/>
      <c r="AN17" s="43"/>
      <c r="AT17" s="43"/>
      <c r="BC17" s="43"/>
    </row>
    <row r="18" spans="5:55" x14ac:dyDescent="0.3">
      <c r="E18" s="43"/>
      <c r="J18" s="43"/>
      <c r="P18" s="43"/>
      <c r="V18" s="43"/>
      <c r="AB18" s="43"/>
      <c r="AH18" s="43"/>
      <c r="AN18" s="43"/>
      <c r="AT18" s="43"/>
      <c r="BC18" s="43"/>
    </row>
    <row r="19" spans="5:55" x14ac:dyDescent="0.3">
      <c r="E19" s="43"/>
      <c r="J19" s="43"/>
      <c r="P19" s="43"/>
      <c r="V19" s="43"/>
      <c r="AB19" s="43"/>
      <c r="AH19" s="43"/>
      <c r="AN19" s="43"/>
      <c r="AT19" s="43"/>
      <c r="BC19" s="43"/>
    </row>
    <row r="20" spans="5:55" x14ac:dyDescent="0.3">
      <c r="E20" s="43"/>
      <c r="J20" s="43"/>
      <c r="P20" s="43"/>
      <c r="V20" s="43"/>
      <c r="AB20" s="43"/>
      <c r="AH20" s="43"/>
      <c r="AN20" s="43"/>
      <c r="AT20" s="43"/>
      <c r="BC20" s="43"/>
    </row>
    <row r="21" spans="5:55" x14ac:dyDescent="0.3">
      <c r="E21" s="43"/>
      <c r="J21" s="43"/>
      <c r="P21" s="43"/>
      <c r="V21" s="43"/>
      <c r="AB21" s="43"/>
      <c r="AH21" s="43"/>
      <c r="AN21" s="43"/>
      <c r="AT21" s="43"/>
      <c r="BC21" s="43"/>
    </row>
    <row r="22" spans="5:55" x14ac:dyDescent="0.3">
      <c r="E22" s="43"/>
      <c r="J22" s="43"/>
      <c r="P22" s="43"/>
      <c r="V22" s="43"/>
      <c r="AB22" s="43"/>
      <c r="AH22" s="43"/>
      <c r="AN22" s="43"/>
      <c r="AT22" s="43"/>
      <c r="BC22" s="43"/>
    </row>
    <row r="23" spans="5:55" x14ac:dyDescent="0.3">
      <c r="E23" s="43"/>
      <c r="J23" s="43"/>
      <c r="P23" s="43"/>
      <c r="V23" s="43"/>
      <c r="AB23" s="43"/>
      <c r="AH23" s="43"/>
      <c r="AN23" s="43"/>
      <c r="AT23" s="43"/>
      <c r="BC23" s="43"/>
    </row>
    <row r="24" spans="5:55" x14ac:dyDescent="0.3">
      <c r="E24" s="43"/>
      <c r="J24" s="43"/>
      <c r="P24" s="43"/>
      <c r="V24" s="43"/>
      <c r="AB24" s="43"/>
      <c r="AH24" s="43"/>
      <c r="AN24" s="43"/>
      <c r="AT24" s="43"/>
      <c r="BC24" s="43"/>
    </row>
    <row r="25" spans="5:55" x14ac:dyDescent="0.3">
      <c r="E25" s="43"/>
      <c r="J25" s="43"/>
      <c r="P25" s="43"/>
      <c r="V25" s="43"/>
      <c r="AB25" s="43"/>
      <c r="AH25" s="43"/>
      <c r="AN25" s="43"/>
      <c r="AT25" s="43"/>
      <c r="BC25" s="43"/>
    </row>
    <row r="26" spans="5:55" x14ac:dyDescent="0.3">
      <c r="E26" s="43"/>
      <c r="J26" s="43"/>
      <c r="P26" s="43"/>
      <c r="V26" s="43"/>
      <c r="AB26" s="43"/>
      <c r="AH26" s="43"/>
      <c r="AN26" s="43"/>
      <c r="AT26" s="43"/>
      <c r="BC26" s="43"/>
    </row>
    <row r="27" spans="5:55" x14ac:dyDescent="0.3">
      <c r="E27" s="43"/>
      <c r="J27" s="43"/>
      <c r="P27" s="43"/>
      <c r="V27" s="43"/>
      <c r="AB27" s="43"/>
      <c r="AH27" s="43"/>
      <c r="AN27" s="43"/>
      <c r="AT27" s="43"/>
      <c r="BC27" s="43"/>
    </row>
    <row r="28" spans="5:55" x14ac:dyDescent="0.3">
      <c r="E28" s="43"/>
      <c r="J28" s="43"/>
      <c r="P28" s="43"/>
      <c r="V28" s="43"/>
      <c r="AB28" s="43"/>
      <c r="AH28" s="43"/>
      <c r="AN28" s="43"/>
      <c r="AT28" s="43"/>
      <c r="BC28" s="43"/>
    </row>
    <row r="29" spans="5:55" x14ac:dyDescent="0.3">
      <c r="E29" s="43"/>
      <c r="J29" s="43"/>
      <c r="P29" s="43"/>
      <c r="V29" s="43"/>
      <c r="AB29" s="43"/>
      <c r="AH29" s="43"/>
      <c r="AN29" s="43"/>
      <c r="AT29" s="43"/>
      <c r="BC29" s="43"/>
    </row>
    <row r="30" spans="5:55" x14ac:dyDescent="0.3">
      <c r="E30" s="43"/>
      <c r="J30" s="43"/>
      <c r="P30" s="43"/>
      <c r="V30" s="43"/>
      <c r="AB30" s="43"/>
      <c r="AH30" s="43"/>
      <c r="AN30" s="43"/>
      <c r="AT30" s="43"/>
      <c r="BC30" s="43"/>
    </row>
    <row r="31" spans="5:55" x14ac:dyDescent="0.3">
      <c r="E31" s="43"/>
      <c r="J31" s="43"/>
      <c r="P31" s="43"/>
      <c r="V31" s="43"/>
      <c r="AB31" s="43"/>
      <c r="AH31" s="43"/>
      <c r="AN31" s="43"/>
      <c r="AT31" s="43"/>
      <c r="BC31" s="43"/>
    </row>
    <row r="32" spans="5:55" x14ac:dyDescent="0.3">
      <c r="E32" s="43"/>
      <c r="J32" s="43"/>
      <c r="P32" s="43"/>
      <c r="V32" s="43"/>
      <c r="AB32" s="43"/>
      <c r="AH32" s="43"/>
      <c r="AN32" s="43"/>
      <c r="AT32" s="43"/>
      <c r="BC32" s="43"/>
    </row>
    <row r="33" spans="5:55" x14ac:dyDescent="0.3">
      <c r="E33" s="43"/>
      <c r="J33" s="43"/>
      <c r="P33" s="43"/>
      <c r="V33" s="43"/>
      <c r="AB33" s="43"/>
      <c r="AH33" s="43"/>
      <c r="AN33" s="43"/>
      <c r="AT33" s="43"/>
      <c r="BC33" s="43"/>
    </row>
    <row r="34" spans="5:55" x14ac:dyDescent="0.3">
      <c r="E34" s="43"/>
      <c r="J34" s="43"/>
      <c r="P34" s="43"/>
      <c r="V34" s="43"/>
      <c r="AB34" s="43"/>
      <c r="AH34" s="43"/>
      <c r="AN34" s="43"/>
      <c r="AT34" s="43"/>
      <c r="BC34" s="43"/>
    </row>
    <row r="35" spans="5:55" x14ac:dyDescent="0.3">
      <c r="E35" s="43"/>
      <c r="J35" s="43"/>
      <c r="P35" s="43"/>
      <c r="V35" s="43"/>
      <c r="AB35" s="43"/>
      <c r="AH35" s="43"/>
      <c r="AN35" s="43"/>
      <c r="AT35" s="43"/>
      <c r="BC35" s="43"/>
    </row>
    <row r="36" spans="5:55" x14ac:dyDescent="0.3">
      <c r="E36" s="43"/>
      <c r="J36" s="43"/>
      <c r="P36" s="43"/>
      <c r="V36" s="43"/>
      <c r="AB36" s="43"/>
      <c r="AH36" s="43"/>
      <c r="AN36" s="43"/>
      <c r="AT36" s="43"/>
      <c r="BC36" s="43"/>
    </row>
    <row r="37" spans="5:55" x14ac:dyDescent="0.3">
      <c r="E37" s="43"/>
      <c r="J37" s="43"/>
      <c r="P37" s="43"/>
      <c r="V37" s="43"/>
      <c r="AB37" s="43"/>
      <c r="AH37" s="43"/>
      <c r="AN37" s="43"/>
      <c r="AT37" s="43"/>
      <c r="BC37" s="43"/>
    </row>
    <row r="38" spans="5:55" x14ac:dyDescent="0.3">
      <c r="E38" s="43"/>
      <c r="J38" s="43"/>
      <c r="P38" s="43"/>
      <c r="V38" s="43"/>
      <c r="AB38" s="43"/>
      <c r="AH38" s="43"/>
      <c r="AN38" s="43"/>
      <c r="AT38" s="43"/>
      <c r="BC38" s="43"/>
    </row>
    <row r="39" spans="5:55" x14ac:dyDescent="0.3">
      <c r="E39" s="43"/>
      <c r="J39" s="43"/>
      <c r="P39" s="43"/>
      <c r="V39" s="43"/>
      <c r="AB39" s="43"/>
      <c r="AH39" s="43"/>
      <c r="AN39" s="43"/>
      <c r="AT39" s="43"/>
      <c r="BC39" s="43"/>
    </row>
    <row r="40" spans="5:55" x14ac:dyDescent="0.3">
      <c r="E40" s="43"/>
      <c r="J40" s="43"/>
      <c r="P40" s="43"/>
      <c r="V40" s="43"/>
      <c r="AB40" s="43"/>
      <c r="AH40" s="43"/>
      <c r="AN40" s="43"/>
      <c r="AT40" s="43"/>
      <c r="BC40" s="43"/>
    </row>
    <row r="41" spans="5:55" x14ac:dyDescent="0.3">
      <c r="E41" s="43"/>
      <c r="J41" s="43"/>
      <c r="P41" s="43"/>
      <c r="V41" s="43"/>
      <c r="AB41" s="43"/>
      <c r="AH41" s="43"/>
      <c r="AN41" s="43"/>
      <c r="AT41" s="43"/>
      <c r="BC41" s="43"/>
    </row>
    <row r="42" spans="5:55" x14ac:dyDescent="0.3">
      <c r="E42" s="43"/>
      <c r="J42" s="43"/>
      <c r="P42" s="43"/>
      <c r="V42" s="43"/>
      <c r="AB42" s="43"/>
      <c r="AH42" s="43"/>
      <c r="AN42" s="43"/>
      <c r="AT42" s="43"/>
      <c r="BC42" s="43"/>
    </row>
    <row r="43" spans="5:55" x14ac:dyDescent="0.3">
      <c r="E43" s="43"/>
      <c r="J43" s="43"/>
      <c r="P43" s="43"/>
      <c r="V43" s="43"/>
      <c r="AB43" s="43"/>
      <c r="AH43" s="43"/>
      <c r="AN43" s="43"/>
      <c r="AT43" s="43"/>
      <c r="BC43" s="43"/>
    </row>
    <row r="44" spans="5:55" x14ac:dyDescent="0.3">
      <c r="E44" s="43"/>
      <c r="J44" s="43"/>
      <c r="P44" s="43"/>
      <c r="V44" s="43"/>
      <c r="AB44" s="43"/>
      <c r="AH44" s="43"/>
      <c r="AN44" s="43"/>
      <c r="AT44" s="43"/>
      <c r="BC44" s="43"/>
    </row>
    <row r="45" spans="5:55" x14ac:dyDescent="0.3">
      <c r="E45" s="43"/>
      <c r="J45" s="43"/>
      <c r="P45" s="43"/>
      <c r="V45" s="43"/>
      <c r="AB45" s="43"/>
      <c r="AH45" s="43"/>
      <c r="AN45" s="43"/>
      <c r="AT45" s="43"/>
      <c r="BC45" s="43"/>
    </row>
    <row r="46" spans="5:55" x14ac:dyDescent="0.3">
      <c r="E46" s="43"/>
      <c r="J46" s="43"/>
      <c r="P46" s="43"/>
      <c r="V46" s="43"/>
      <c r="AB46" s="43"/>
      <c r="AH46" s="43"/>
      <c r="AN46" s="43"/>
      <c r="AT46" s="43"/>
      <c r="BC46" s="43"/>
    </row>
    <row r="47" spans="5:55" x14ac:dyDescent="0.3">
      <c r="E47" s="43"/>
      <c r="J47" s="43"/>
      <c r="P47" s="43"/>
      <c r="V47" s="43"/>
      <c r="AB47" s="43"/>
      <c r="AH47" s="43"/>
      <c r="AN47" s="43"/>
      <c r="AT47" s="43"/>
      <c r="BC47" s="43"/>
    </row>
    <row r="48" spans="5:55" x14ac:dyDescent="0.3">
      <c r="E48" s="43"/>
      <c r="J48" s="43"/>
      <c r="P48" s="43"/>
      <c r="V48" s="43"/>
      <c r="AB48" s="43"/>
      <c r="AH48" s="43"/>
      <c r="AN48" s="43"/>
      <c r="AT48" s="43"/>
      <c r="BC48" s="43"/>
    </row>
    <row r="49" spans="5:55" x14ac:dyDescent="0.3">
      <c r="E49" s="43"/>
      <c r="J49" s="43"/>
      <c r="P49" s="43"/>
      <c r="V49" s="43"/>
      <c r="AB49" s="43"/>
      <c r="AH49" s="43"/>
      <c r="AN49" s="43"/>
      <c r="AT49" s="43"/>
      <c r="BC49" s="43"/>
    </row>
    <row r="50" spans="5:55" x14ac:dyDescent="0.3">
      <c r="E50" s="43"/>
      <c r="J50" s="43"/>
      <c r="P50" s="43"/>
      <c r="V50" s="43"/>
      <c r="AB50" s="43"/>
      <c r="AH50" s="43"/>
      <c r="AN50" s="43"/>
      <c r="AT50" s="43"/>
      <c r="BC50" s="43"/>
    </row>
  </sheetData>
  <mergeCells count="10">
    <mergeCell ref="AE2:AG3"/>
    <mergeCell ref="AK2:AM3"/>
    <mergeCell ref="AQ2:AS3"/>
    <mergeCell ref="AW2:BB3"/>
    <mergeCell ref="BF2:BI3"/>
    <mergeCell ref="B2:D3"/>
    <mergeCell ref="G2:I3"/>
    <mergeCell ref="M2:O3"/>
    <mergeCell ref="S2:U3"/>
    <mergeCell ref="Y2:A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E986-6F3F-4741-B596-0B296DCC5F15}">
  <sheetPr codeName="Sheet5"/>
  <dimension ref="P11"/>
  <sheetViews>
    <sheetView showGridLines="0" tabSelected="1" zoomScale="91" zoomScaleNormal="91" workbookViewId="0">
      <selection activeCell="Z1" sqref="Z1"/>
    </sheetView>
  </sheetViews>
  <sheetFormatPr defaultRowHeight="14.4" x14ac:dyDescent="0.3"/>
  <cols>
    <col min="1" max="1" width="8.88671875" style="51"/>
    <col min="2" max="2" width="10.21875" style="51" customWidth="1"/>
    <col min="3" max="16384" width="8.88671875" style="51"/>
  </cols>
  <sheetData>
    <row r="11" spans="16:16" x14ac:dyDescent="0.3">
      <c r="P11" s="5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C17329-52B4-45D9-A3FF-E84E86D980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الارشادات</vt:lpstr>
      <vt:lpstr>Table</vt:lpstr>
      <vt:lpstr>البيانات</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c8844</cp:lastModifiedBy>
  <dcterms:created xsi:type="dcterms:W3CDTF">2015-06-05T18:17:20Z</dcterms:created>
  <dcterms:modified xsi:type="dcterms:W3CDTF">2026-01-07T22:16:17Z</dcterms:modified>
</cp:coreProperties>
</file>